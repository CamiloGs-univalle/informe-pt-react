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4.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5.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6.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17.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8.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9.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20.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defaultThemeVersion="166925"/>
  <mc:AlternateContent xmlns:mc="http://schemas.openxmlformats.org/markup-compatibility/2006">
    <mc:Choice Requires="x15">
      <x15ac:absPath xmlns:x15ac="http://schemas.microsoft.com/office/spreadsheetml/2010/11/ac" url="C:\Users\gestorseguridad2\Desktop\"/>
    </mc:Choice>
  </mc:AlternateContent>
  <xr:revisionPtr revIDLastSave="0" documentId="8_{47CB8338-8E5B-47C9-AF3F-DDB4F88012FD}" xr6:coauthVersionLast="47" xr6:coauthVersionMax="47" xr10:uidLastSave="{00000000-0000-0000-0000-000000000000}"/>
  <bookViews>
    <workbookView xWindow="-120" yWindow="-120" windowWidth="20730" windowHeight="11040" tabRatio="987" firstSheet="13" activeTab="21" xr2:uid="{00000000-000D-0000-FFFF-FFFF00000000}"/>
  </bookViews>
  <sheets>
    <sheet name="Plantilla" sheetId="2" state="hidden" r:id="rId1"/>
    <sheet name="Control de cambios" sheetId="5" state="hidden" r:id="rId2"/>
    <sheet name="List" sheetId="4" state="hidden" r:id="rId3"/>
    <sheet name="0. Activos" sheetId="36" r:id="rId4"/>
    <sheet name="14. # AT x Mes" sheetId="39" r:id="rId5"/>
    <sheet name="DB_Indicadores" sheetId="7" r:id="rId6"/>
    <sheet name="1. Tas. Nacional" sheetId="24" r:id="rId7"/>
    <sheet name="2. Tas. Cauca" sheetId="9" r:id="rId8"/>
    <sheet name="3. Tas. Santander" sheetId="26" r:id="rId9"/>
    <sheet name="4. Sev. Nacional" sheetId="27" r:id="rId10"/>
    <sheet name="5. Sev. Cauca" sheetId="28" r:id="rId11"/>
    <sheet name="6. Sev. Santander" sheetId="29" r:id="rId12"/>
    <sheet name="7. Inves. AT" sheetId="25" r:id="rId13"/>
    <sheet name="9. Parte del cuerpo" sheetId="31" r:id="rId14"/>
    <sheet name="10. Agente de lesion" sheetId="32" r:id="rId15"/>
    <sheet name="8. Tipo de lesion" sheetId="30" r:id="rId16"/>
    <sheet name="11. Mecanismo" sheetId="33" r:id="rId17"/>
    <sheet name="12.Cargo" sheetId="34" r:id="rId18"/>
    <sheet name="13. Ejecu. PA" sheetId="38" r:id="rId19"/>
    <sheet name="15. Ausentismo por EG" sheetId="40" r:id="rId20"/>
    <sheet name="XXXXXXXXXXXXXXXX" sheetId="12" r:id="rId21"/>
    <sheet name="A.T" sheetId="41" r:id="rId22"/>
  </sheets>
  <externalReferences>
    <externalReference r:id="rId23"/>
    <externalReference r:id="rId24"/>
  </externalReferences>
  <definedNames>
    <definedName name="_xlnm._FilterDatabase" localSheetId="17" hidden="1">'12.Cargo'!$A$2:$B$4</definedName>
    <definedName name="_xlnm._FilterDatabase" localSheetId="21" hidden="1">A.T!$B$15:$R$15</definedName>
    <definedName name="Color">[1]Hoja1!$A$2:$A$4</definedName>
    <definedName name="CONVENCION">INDIRECT(#REF!)</definedName>
    <definedName name="MATRIZ" localSheetId="3">#REF!</definedName>
    <definedName name="MATRIZ" localSheetId="6">#REF!</definedName>
    <definedName name="MATRIZ" localSheetId="18">#REF!</definedName>
    <definedName name="MATRIZ" localSheetId="4">#REF!</definedName>
    <definedName name="MATRIZ" localSheetId="7">#REF!</definedName>
    <definedName name="MATRIZ" localSheetId="8">#REF!</definedName>
    <definedName name="MATRIZ" localSheetId="9">#REF!</definedName>
    <definedName name="MATRIZ" localSheetId="10">#REF!</definedName>
    <definedName name="MATRIZ" localSheetId="11">#REF!</definedName>
    <definedName name="MATRIZ" localSheetId="12">#REF!</definedName>
    <definedName name="MATRIZ" localSheetId="20">#REF!</definedName>
    <definedName name="MATRI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25" l="1"/>
  <c r="J19" i="29"/>
  <c r="J19" i="27"/>
  <c r="I19" i="28"/>
  <c r="J19" i="28"/>
  <c r="K19" i="28"/>
  <c r="L19" i="28"/>
  <c r="M19" i="28"/>
  <c r="J19" i="26"/>
  <c r="K19" i="26"/>
  <c r="L19" i="26"/>
  <c r="M19" i="26"/>
  <c r="N19" i="26"/>
  <c r="I19" i="9"/>
  <c r="J19" i="9"/>
  <c r="K19" i="9"/>
  <c r="L19" i="9"/>
  <c r="M19" i="9"/>
  <c r="N19" i="9"/>
  <c r="I19" i="24"/>
  <c r="J19" i="24"/>
  <c r="K19" i="24"/>
  <c r="L19" i="24"/>
  <c r="M19" i="24"/>
  <c r="N19" i="24"/>
  <c r="I19" i="25" l="1"/>
  <c r="I19" i="29"/>
  <c r="I19" i="27"/>
  <c r="I19" i="26"/>
  <c r="H19" i="26"/>
  <c r="H19" i="25"/>
  <c r="H19" i="29"/>
  <c r="H19" i="28"/>
  <c r="H19" i="27"/>
  <c r="H19" i="9"/>
  <c r="H19" i="24"/>
  <c r="G19" i="29"/>
  <c r="G19" i="28"/>
  <c r="G19" i="27"/>
  <c r="G19" i="26"/>
  <c r="G19" i="9"/>
  <c r="G19" i="24"/>
  <c r="F19" i="25"/>
  <c r="F19" i="29"/>
  <c r="F19" i="28"/>
  <c r="F19" i="27"/>
  <c r="F19" i="26"/>
  <c r="F19" i="9"/>
  <c r="F19" i="24"/>
  <c r="E19" i="29"/>
  <c r="E19" i="28"/>
  <c r="E19" i="27"/>
  <c r="E19" i="26"/>
  <c r="E19" i="9"/>
  <c r="E19" i="24"/>
  <c r="D19" i="29"/>
  <c r="D19" i="28"/>
  <c r="D19" i="27"/>
  <c r="D19" i="26"/>
  <c r="D19" i="9"/>
  <c r="D19" i="24"/>
  <c r="D27" i="40"/>
  <c r="E27" i="40" s="1"/>
  <c r="F27" i="40" s="1"/>
  <c r="G27" i="40"/>
  <c r="D28" i="40"/>
  <c r="E28" i="40"/>
  <c r="F28" i="40" s="1"/>
  <c r="G28" i="40"/>
  <c r="D29" i="40"/>
  <c r="E29" i="40" s="1"/>
  <c r="F29" i="40" s="1"/>
  <c r="G29" i="40"/>
  <c r="D30" i="40"/>
  <c r="E30" i="40"/>
  <c r="F30" i="40"/>
  <c r="G30" i="40"/>
  <c r="D31" i="40"/>
  <c r="E31" i="40"/>
  <c r="F31" i="40"/>
  <c r="G31" i="40"/>
  <c r="D32" i="40"/>
  <c r="E32" i="40"/>
  <c r="F32" i="40"/>
  <c r="G32" i="40"/>
  <c r="D33" i="40"/>
  <c r="E33" i="40"/>
  <c r="F33" i="40"/>
  <c r="G33" i="40"/>
  <c r="D34" i="40"/>
  <c r="E34" i="40"/>
  <c r="F34" i="40"/>
  <c r="G34" i="40"/>
  <c r="D35" i="40"/>
  <c r="E35" i="40"/>
  <c r="F35" i="40"/>
  <c r="G35" i="40"/>
  <c r="D36" i="40"/>
  <c r="E36" i="40"/>
  <c r="F36" i="40" s="1"/>
  <c r="G36" i="40"/>
  <c r="D37" i="40"/>
  <c r="E37" i="40"/>
  <c r="F37" i="40"/>
  <c r="G37" i="40"/>
  <c r="D38" i="40"/>
  <c r="E38" i="40"/>
  <c r="F38" i="40"/>
  <c r="G38" i="40"/>
  <c r="B39" i="40"/>
  <c r="C39" i="40"/>
  <c r="D39" i="40"/>
  <c r="E39" i="40"/>
  <c r="F39" i="40" s="1"/>
  <c r="G39" i="40"/>
  <c r="C17" i="40"/>
  <c r="C19" i="29" l="1"/>
  <c r="C19" i="28"/>
  <c r="C19" i="27"/>
  <c r="C19" i="26"/>
  <c r="C19" i="9"/>
  <c r="C19" i="24"/>
  <c r="B90" i="34"/>
  <c r="B113" i="33"/>
  <c r="B95" i="32"/>
  <c r="B128" i="31"/>
  <c r="B103" i="30"/>
  <c r="B79" i="34" l="1"/>
  <c r="B100" i="33"/>
  <c r="B84" i="32"/>
  <c r="B113" i="31"/>
  <c r="B91" i="30"/>
  <c r="B68" i="34" l="1"/>
  <c r="B87" i="33"/>
  <c r="B73" i="32"/>
  <c r="B98" i="31"/>
  <c r="B79" i="30"/>
  <c r="B57" i="34" l="1"/>
  <c r="B74" i="33"/>
  <c r="B62" i="32"/>
  <c r="B83" i="31"/>
  <c r="B67" i="30"/>
  <c r="B46" i="34" l="1"/>
  <c r="B61" i="33"/>
  <c r="B51" i="32"/>
  <c r="B68" i="31"/>
  <c r="B55" i="30"/>
  <c r="B40" i="32" l="1"/>
  <c r="B53" i="31"/>
  <c r="B43" i="30"/>
  <c r="B26" i="34" l="1"/>
  <c r="B35" i="33"/>
  <c r="B29" i="32"/>
  <c r="B38" i="31"/>
  <c r="B31" i="30"/>
  <c r="B19" i="32" l="1"/>
  <c r="B25" i="31"/>
  <c r="B17" i="40" l="1"/>
  <c r="G42" i="7" l="1"/>
  <c r="H42" i="7"/>
  <c r="I42" i="7"/>
  <c r="J42" i="7"/>
  <c r="K42" i="7"/>
  <c r="L42" i="7"/>
  <c r="M42" i="7"/>
  <c r="N42" i="7"/>
  <c r="O42" i="7"/>
  <c r="P42" i="7"/>
  <c r="Q42" i="7"/>
  <c r="F42" i="7"/>
  <c r="G41" i="7"/>
  <c r="H41" i="7"/>
  <c r="I41" i="7"/>
  <c r="J41" i="7"/>
  <c r="K41" i="7"/>
  <c r="L41" i="7"/>
  <c r="M41" i="7"/>
  <c r="N41" i="7"/>
  <c r="O41" i="7"/>
  <c r="P41" i="7"/>
  <c r="Q41" i="7"/>
  <c r="F41" i="7"/>
  <c r="G40" i="7"/>
  <c r="H40" i="7"/>
  <c r="I40" i="7"/>
  <c r="K40" i="7"/>
  <c r="L40" i="7"/>
  <c r="M40" i="7"/>
  <c r="O40" i="7"/>
  <c r="P40" i="7"/>
  <c r="Q40" i="7"/>
  <c r="F40" i="7"/>
  <c r="G39" i="7"/>
  <c r="H39" i="7"/>
  <c r="I39" i="7"/>
  <c r="K39" i="7"/>
  <c r="L39" i="7"/>
  <c r="M39" i="7"/>
  <c r="O39" i="7"/>
  <c r="P39" i="7"/>
  <c r="Q39" i="7"/>
  <c r="F39" i="7"/>
  <c r="G38" i="7"/>
  <c r="H38" i="7"/>
  <c r="I38" i="7"/>
  <c r="K38" i="7"/>
  <c r="L38" i="7"/>
  <c r="M38" i="7"/>
  <c r="O38" i="7"/>
  <c r="P38" i="7"/>
  <c r="Q38" i="7"/>
  <c r="F38" i="7"/>
  <c r="G37" i="7"/>
  <c r="H37" i="7"/>
  <c r="I37" i="7"/>
  <c r="K37" i="7"/>
  <c r="M37" i="7"/>
  <c r="O37" i="7"/>
  <c r="P37" i="7"/>
  <c r="Q37" i="7"/>
  <c r="F37" i="7"/>
  <c r="G34" i="7"/>
  <c r="H34" i="7"/>
  <c r="L34" i="7"/>
  <c r="Q34" i="7"/>
  <c r="F34" i="7"/>
  <c r="G33" i="7"/>
  <c r="H33" i="7"/>
  <c r="J35" i="7"/>
  <c r="K33" i="7"/>
  <c r="Q33" i="7"/>
  <c r="F33" i="7"/>
  <c r="G30" i="7"/>
  <c r="Q30" i="7"/>
  <c r="F30" i="7"/>
  <c r="G29" i="7"/>
  <c r="Q29" i="7"/>
  <c r="F29" i="7"/>
  <c r="G27" i="7"/>
  <c r="H27" i="7"/>
  <c r="Q27" i="7"/>
  <c r="F27" i="7"/>
  <c r="G26" i="7"/>
  <c r="H26" i="7"/>
  <c r="Q26" i="7"/>
  <c r="F26" i="7"/>
  <c r="G23" i="7"/>
  <c r="H23" i="7"/>
  <c r="O23" i="7"/>
  <c r="Q23" i="7"/>
  <c r="F23" i="7"/>
  <c r="G22" i="7"/>
  <c r="H22" i="7"/>
  <c r="I22" i="7"/>
  <c r="M22" i="7"/>
  <c r="N22" i="7"/>
  <c r="P22" i="7"/>
  <c r="Q22" i="7"/>
  <c r="F22" i="7"/>
  <c r="G20" i="7"/>
  <c r="H20" i="7"/>
  <c r="O20" i="7"/>
  <c r="Q20" i="7"/>
  <c r="F20" i="7"/>
  <c r="G19" i="7"/>
  <c r="Q19" i="7"/>
  <c r="F19" i="7"/>
  <c r="G16" i="7"/>
  <c r="H16" i="7"/>
  <c r="Q16" i="7"/>
  <c r="F16" i="7"/>
  <c r="G15" i="7"/>
  <c r="H15" i="7"/>
  <c r="Q15" i="7"/>
  <c r="F15" i="7"/>
  <c r="G12" i="7"/>
  <c r="H12" i="7"/>
  <c r="Q12" i="7"/>
  <c r="F12" i="7"/>
  <c r="G11" i="7"/>
  <c r="H11" i="7"/>
  <c r="I11" i="7"/>
  <c r="M11" i="7"/>
  <c r="N11" i="7"/>
  <c r="Q11" i="7"/>
  <c r="F11" i="7"/>
  <c r="F35" i="7" l="1"/>
  <c r="F31" i="7"/>
  <c r="J31" i="7"/>
  <c r="M35" i="7"/>
  <c r="R16" i="7"/>
  <c r="R12" i="7"/>
  <c r="R15" i="7"/>
  <c r="R11" i="7"/>
  <c r="Q35" i="7"/>
  <c r="I35" i="7"/>
  <c r="G14" i="7"/>
  <c r="O18" i="7"/>
  <c r="O21" i="7"/>
  <c r="G21" i="7"/>
  <c r="O25" i="7"/>
  <c r="G25" i="7"/>
  <c r="O28" i="7"/>
  <c r="G28" i="7"/>
  <c r="O31" i="7"/>
  <c r="G31" i="7"/>
  <c r="O35" i="7"/>
  <c r="G35" i="7"/>
  <c r="O14" i="7"/>
  <c r="G18" i="7"/>
  <c r="L14" i="7"/>
  <c r="L28" i="7"/>
  <c r="L31" i="7"/>
  <c r="L35" i="7"/>
  <c r="N14" i="7"/>
  <c r="N18" i="7"/>
  <c r="N21" i="7"/>
  <c r="N25" i="7"/>
  <c r="N28" i="7"/>
  <c r="N31" i="7"/>
  <c r="N35" i="7"/>
  <c r="K35" i="7"/>
  <c r="Q14" i="7"/>
  <c r="I14" i="7"/>
  <c r="Q18" i="7"/>
  <c r="I18" i="7"/>
  <c r="Q21" i="7"/>
  <c r="I21" i="7"/>
  <c r="Q25" i="7"/>
  <c r="I25" i="7"/>
  <c r="Q28" i="7"/>
  <c r="I28" i="7"/>
  <c r="Q31" i="7"/>
  <c r="I31" i="7"/>
  <c r="P14" i="7"/>
  <c r="H14" i="7"/>
  <c r="P18" i="7"/>
  <c r="H18" i="7"/>
  <c r="P21" i="7"/>
  <c r="H21" i="7"/>
  <c r="P25" i="7"/>
  <c r="H25" i="7"/>
  <c r="P28" i="7"/>
  <c r="H28" i="7"/>
  <c r="P31" i="7"/>
  <c r="H31" i="7"/>
  <c r="P35" i="7"/>
  <c r="H35" i="7"/>
  <c r="M14" i="7"/>
  <c r="M28" i="7"/>
  <c r="M31" i="7"/>
  <c r="K14" i="7"/>
  <c r="K28" i="7"/>
  <c r="K31" i="7"/>
  <c r="M18" i="7"/>
  <c r="M21" i="7"/>
  <c r="M25" i="7"/>
  <c r="L18" i="7"/>
  <c r="L21" i="7"/>
  <c r="L25" i="7"/>
  <c r="K18" i="7"/>
  <c r="K21" i="7"/>
  <c r="K25" i="7"/>
  <c r="F14" i="7"/>
  <c r="J14" i="7"/>
  <c r="F18" i="7"/>
  <c r="J18" i="7"/>
  <c r="F21" i="7"/>
  <c r="J21" i="7"/>
  <c r="F25" i="7"/>
  <c r="J25" i="7"/>
  <c r="F28" i="7"/>
  <c r="J28" i="7"/>
  <c r="Q8" i="7"/>
  <c r="Q7" i="7"/>
  <c r="H8" i="7"/>
  <c r="G8" i="7"/>
  <c r="F8" i="7"/>
  <c r="I10" i="7"/>
  <c r="H7" i="7"/>
  <c r="G7" i="7"/>
  <c r="F7" i="7"/>
  <c r="G10" i="7" l="1"/>
  <c r="H10" i="7"/>
  <c r="J10" i="7"/>
  <c r="S11" i="7"/>
  <c r="S15" i="7"/>
  <c r="L10" i="7"/>
  <c r="F10" i="7"/>
  <c r="R7" i="7"/>
  <c r="M10" i="7"/>
  <c r="Q10" i="7"/>
  <c r="P10" i="7"/>
  <c r="O10" i="7"/>
  <c r="N10" i="7"/>
  <c r="K10" i="7"/>
  <c r="R8" i="7"/>
  <c r="S7" i="7" l="1"/>
  <c r="D19" i="38" l="1"/>
  <c r="E19" i="38"/>
  <c r="F19" i="38"/>
  <c r="G19" i="38"/>
  <c r="H19" i="38"/>
  <c r="I19" i="38"/>
  <c r="J19" i="38"/>
  <c r="K19" i="38"/>
  <c r="L19" i="38"/>
  <c r="M19" i="38"/>
  <c r="N19" i="38"/>
  <c r="C19" i="38"/>
  <c r="C19" i="25" l="1"/>
  <c r="I11" i="2" l="1"/>
  <c r="C11" i="2"/>
  <c r="I10" i="2"/>
  <c r="M14" i="2"/>
  <c r="C10" i="2"/>
  <c r="J5" i="2"/>
  <c r="E9" i="2"/>
  <c r="E8" i="2"/>
  <c r="E7" i="2"/>
  <c r="C25" i="2"/>
  <c r="C24" i="2"/>
  <c r="M26" i="2" l="1"/>
  <c r="C26" i="2"/>
  <c r="C28" i="2" s="1"/>
  <c r="D27" i="2"/>
  <c r="E27" i="2"/>
  <c r="O27" i="2"/>
  <c r="H26" i="2"/>
  <c r="G26" i="2"/>
  <c r="F26" i="2"/>
  <c r="E26" i="2"/>
  <c r="D26" i="2"/>
  <c r="I26" i="2"/>
  <c r="J26" i="2"/>
  <c r="K26" i="2"/>
  <c r="L26" i="2"/>
  <c r="N26" i="2"/>
  <c r="E28" i="2" l="1"/>
  <c r="D28" i="2"/>
  <c r="N27" i="2"/>
  <c r="N28" i="2" s="1"/>
  <c r="M27" i="2"/>
  <c r="M28" i="2" s="1"/>
  <c r="L27" i="2"/>
  <c r="L28" i="2" s="1"/>
  <c r="K27" i="2"/>
  <c r="K28" i="2" s="1"/>
  <c r="J27" i="2"/>
  <c r="J28" i="2" s="1"/>
  <c r="I27" i="2"/>
  <c r="I28" i="2" s="1"/>
  <c r="H27" i="2"/>
  <c r="H28" i="2" s="1"/>
  <c r="G27" i="2"/>
  <c r="G28" i="2" s="1"/>
  <c r="F27" i="2"/>
  <c r="F28" i="2" s="1"/>
  <c r="O25" i="2"/>
  <c r="B25" i="2"/>
  <c r="B24" i="2"/>
  <c r="O24" i="2" l="1"/>
  <c r="O26" i="2" s="1"/>
  <c r="O28" i="2" s="1"/>
</calcChain>
</file>

<file path=xl/sharedStrings.xml><?xml version="1.0" encoding="utf-8"?>
<sst xmlns="http://schemas.openxmlformats.org/spreadsheetml/2006/main" count="1364" uniqueCount="339">
  <si>
    <t>PROCESO:</t>
  </si>
  <si>
    <t>RESPONSABLE:</t>
  </si>
  <si>
    <t>NOMBRE DEL INDICADOR</t>
  </si>
  <si>
    <t>OBJETIVO DEL INDICADOR</t>
  </si>
  <si>
    <t>FORMULA</t>
  </si>
  <si>
    <t>DATOS DE LAS VARIABLES</t>
  </si>
  <si>
    <t>Nombre y Definición de la Variable</t>
  </si>
  <si>
    <t>Frecuencia de Medición</t>
  </si>
  <si>
    <t>Variable 1</t>
  </si>
  <si>
    <t>Mensual</t>
  </si>
  <si>
    <t>Variable 2</t>
  </si>
  <si>
    <t>COMO SE INTERPRETA</t>
  </si>
  <si>
    <t>PERSONAS QUE DEBEN CONOCER EL RESULTADO</t>
  </si>
  <si>
    <t>RESULTADOS</t>
  </si>
  <si>
    <t>Ene</t>
  </si>
  <si>
    <t>Feb</t>
  </si>
  <si>
    <t>Mar</t>
  </si>
  <si>
    <t>Abr</t>
  </si>
  <si>
    <t>May</t>
  </si>
  <si>
    <t>Jun</t>
  </si>
  <si>
    <t>Jul</t>
  </si>
  <si>
    <t>Ago</t>
  </si>
  <si>
    <t>Sept</t>
  </si>
  <si>
    <t>Oct</t>
  </si>
  <si>
    <t>Nov</t>
  </si>
  <si>
    <t>Dic</t>
  </si>
  <si>
    <t>Meta</t>
  </si>
  <si>
    <t>Cumplió Meta</t>
  </si>
  <si>
    <t>GRÁFICO DE RESULTADO</t>
  </si>
  <si>
    <t>ACCIONES CORRECTIVAS EN CASO DE NO CUMPLIR LA META</t>
  </si>
  <si>
    <t>RESPONSABLE</t>
  </si>
  <si>
    <t>FICHA TECNICA DEL INDICADOR</t>
  </si>
  <si>
    <t>FORMATO</t>
  </si>
  <si>
    <t>Codigo:</t>
  </si>
  <si>
    <t>FOR-CA-012</t>
  </si>
  <si>
    <t>Versión:</t>
  </si>
  <si>
    <t>Fecha:</t>
  </si>
  <si>
    <t>Origen de Datos [Fuente]</t>
  </si>
  <si>
    <t>Tipo de Indicador</t>
  </si>
  <si>
    <t>Numero del Indicador</t>
  </si>
  <si>
    <t>Tendencia del indicador</t>
  </si>
  <si>
    <t>Positiva</t>
  </si>
  <si>
    <t>Perspectiva</t>
  </si>
  <si>
    <t>Servicio Diferencial</t>
  </si>
  <si>
    <t>Objetivo Estrategico</t>
  </si>
  <si>
    <t>Acum Año</t>
  </si>
  <si>
    <t>Cumplimiento</t>
  </si>
  <si>
    <t>CAUSAS DE NO CUMPLIMIENTO
[Aplique metodologia de los 5 porque]</t>
  </si>
  <si>
    <t>PLAN DE ACCIONES</t>
  </si>
  <si>
    <t>ESTADO</t>
  </si>
  <si>
    <t>FECHA DE CIERRE</t>
  </si>
  <si>
    <t>Explicación del porque se obtuvieron los resultados del indicador y Analisis de causa  en el caso tal de no alcanzar la meta)
Nota: Para el analisis de causas se recomienda usar la metodologia de los 5 porque para encontrar la causa raiz  del no cunplimeinto del indicador.</t>
  </si>
  <si>
    <t>(Definir el plan de accion que se realizará para alcanzar la meta en los casos que el resultado del indicador no la cumpla)</t>
  </si>
  <si>
    <t>ABIERTO</t>
  </si>
  <si>
    <t>CERRADO</t>
  </si>
  <si>
    <t>EN PROCESO</t>
  </si>
  <si>
    <t>TIPO DE INDICADOR</t>
  </si>
  <si>
    <t>DESEMPEÑO</t>
  </si>
  <si>
    <t>RESULTADO</t>
  </si>
  <si>
    <t>GESTIÓN</t>
  </si>
  <si>
    <t>PERSPECTIVA</t>
  </si>
  <si>
    <t>Crecimiento Rentable</t>
  </si>
  <si>
    <t>Efectividad Operacional</t>
  </si>
  <si>
    <t>Gestión Personas</t>
  </si>
  <si>
    <t>TENDENCIA</t>
  </si>
  <si>
    <t>Negativa</t>
  </si>
  <si>
    <t>Objetivos estratégicos</t>
  </si>
  <si>
    <t>Incrementar la UAI de la organización</t>
  </si>
  <si>
    <t>Disminución del gasto financiero</t>
  </si>
  <si>
    <t>Incrementar la venta de los servicios</t>
  </si>
  <si>
    <t>Índice de satisfacción clientes</t>
  </si>
  <si>
    <t>Cumplimiento de ANS</t>
  </si>
  <si>
    <t>Retención de clientes</t>
  </si>
  <si>
    <t>Nivel de productividad</t>
  </si>
  <si>
    <t>Eficacia en el logro de resultados</t>
  </si>
  <si>
    <t>Implemenatación TD</t>
  </si>
  <si>
    <t>Retención de personal</t>
  </si>
  <si>
    <t>Nivel de desempeño</t>
  </si>
  <si>
    <t>Indice de cultura</t>
  </si>
  <si>
    <t>Frecuencia</t>
  </si>
  <si>
    <t>Bimensual</t>
  </si>
  <si>
    <t>Trimestral</t>
  </si>
  <si>
    <t>Cuatrimestral</t>
  </si>
  <si>
    <t>Semestral</t>
  </si>
  <si>
    <t>Anual</t>
  </si>
  <si>
    <t>(Fuente de donde se obtiene la información para alimentar el indicador)</t>
  </si>
  <si>
    <t>Gerencia, coordinadores, Analistas, Auxiliar Etc.</t>
  </si>
  <si>
    <t>Código:</t>
  </si>
  <si>
    <t>CONTROL DOCUMENTAL</t>
  </si>
  <si>
    <t>Versión</t>
  </si>
  <si>
    <t>Cambios realizados</t>
  </si>
  <si>
    <t>Fecha</t>
  </si>
  <si>
    <t>Actualización del documento y cambio de codificación</t>
  </si>
  <si>
    <t>Elaboró</t>
  </si>
  <si>
    <t>Revisó</t>
  </si>
  <si>
    <t>Aprobó</t>
  </si>
  <si>
    <t>Nombre: Cristhian Palta</t>
  </si>
  <si>
    <t>Nombre: Catherin Pabón</t>
  </si>
  <si>
    <t>Cargo: Analista de calidad</t>
  </si>
  <si>
    <t>Cargo: Coordinadora de auditoria y procesos</t>
  </si>
  <si>
    <r>
      <rPr>
        <b/>
        <sz val="14"/>
        <rFont val="Gill Sans MT"/>
        <family val="2"/>
      </rPr>
      <t xml:space="preserve">FICHA TECNICA DEL INDICADOR </t>
    </r>
    <r>
      <rPr>
        <b/>
        <sz val="12"/>
        <rFont val="Gill Sans MT"/>
        <family val="2"/>
      </rPr>
      <t xml:space="preserve">
BASE DE DATOS PARA LOS INDICADORES</t>
    </r>
  </si>
  <si>
    <t>Procesos</t>
  </si>
  <si>
    <t>Direccionamiento estratégico</t>
  </si>
  <si>
    <t>Gestión integral</t>
  </si>
  <si>
    <t>Proyectos y TICs</t>
  </si>
  <si>
    <t>Innovación y experiencias</t>
  </si>
  <si>
    <t>Gestión comercial</t>
  </si>
  <si>
    <t>Administración de personal</t>
  </si>
  <si>
    <t>Selección y contratación</t>
  </si>
  <si>
    <t>Nomina y seguridad social</t>
  </si>
  <si>
    <t>Seguridad y salud en el trabajo</t>
  </si>
  <si>
    <t>Gestión humana</t>
  </si>
  <si>
    <t>Compras</t>
  </si>
  <si>
    <t>Tesorería</t>
  </si>
  <si>
    <t>Contabilidad</t>
  </si>
  <si>
    <t>Relaciones laborales</t>
  </si>
  <si>
    <t>Selección Especializada</t>
  </si>
  <si>
    <t>Cmpañia</t>
  </si>
  <si>
    <t>Proservis Temporales</t>
  </si>
  <si>
    <t>Proservis Generales</t>
  </si>
  <si>
    <t>Total de retiros marcados extemporáneamente (3 días hábiles)</t>
  </si>
  <si>
    <t>(Total retiros marcados en el mes)</t>
  </si>
  <si>
    <t>Indicador</t>
  </si>
  <si>
    <t>Sep</t>
  </si>
  <si>
    <t>Responsable</t>
  </si>
  <si>
    <t>Angela Gomez</t>
  </si>
  <si>
    <t>Catherine Pabón</t>
  </si>
  <si>
    <t>Cristian Castaño</t>
  </si>
  <si>
    <t>Juliana Franco</t>
  </si>
  <si>
    <t>Diego Sanchez</t>
  </si>
  <si>
    <t>Sandra Enriquez</t>
  </si>
  <si>
    <t>Jhon Romero</t>
  </si>
  <si>
    <t>Cristina Truque</t>
  </si>
  <si>
    <t>Daniela Martinez</t>
  </si>
  <si>
    <t>Hassan Quinto</t>
  </si>
  <si>
    <t>Angelica Ramos</t>
  </si>
  <si>
    <t>MECANISMO Y RESPONSABLE DE MEDICIÓN</t>
  </si>
  <si>
    <t>Jefe de proceso y  Coordinador SGI, realizará el calculo y análisis</t>
  </si>
  <si>
    <t>N°</t>
  </si>
  <si>
    <t>Datos</t>
  </si>
  <si>
    <t>PT &amp; PG</t>
  </si>
  <si>
    <t>Johan Cartagena</t>
  </si>
  <si>
    <t>Director SG SST - Gestor de Seguridad - Incubadora Santander SA</t>
  </si>
  <si>
    <t>INTERPRETACION</t>
  </si>
  <si>
    <t>DEFINICION</t>
  </si>
  <si>
    <t>Numero de veces que ocurre un accidente de trabajo en el mes</t>
  </si>
  <si>
    <t>(Numero de accidentes de trabajo que se presentaron en el mes / Numero de trabajadores en el mes)*100</t>
  </si>
  <si>
    <t>Por cada cien trabajadores que laboraron en el mes, se presentaron X accidentes de trabajo</t>
  </si>
  <si>
    <t>VARIABLE</t>
  </si>
  <si>
    <t>#AT en el mes</t>
  </si>
  <si>
    <t># Trabaj Act. En el mes</t>
  </si>
  <si>
    <t>SEVERIDAD 2024</t>
  </si>
  <si>
    <t>Severidad de accidentabilidad</t>
  </si>
  <si>
    <t>Numero de dias perdidos por accidentes de trabajo en el mes</t>
  </si>
  <si>
    <t>(Numero de dias de incapacidad por accidente de trabajo en el mes / Numero de trabajadores en el mes)*100</t>
  </si>
  <si>
    <t>Por cada cien trabajadores que laboraron en el mes, se perdieron X dias por accidente de trabajo</t>
  </si>
  <si>
    <t># Dias Incapa en el mes</t>
  </si>
  <si>
    <t># Trabajadores en el mes</t>
  </si>
  <si>
    <t>TOTAL</t>
  </si>
  <si>
    <t>Investigacion de accidentes de trabajo</t>
  </si>
  <si>
    <t>Numero de accidentes de trabajo investigados</t>
  </si>
  <si>
    <t xml:space="preserve">#AT </t>
  </si>
  <si>
    <t># AT INVE</t>
  </si>
  <si>
    <t>(Numero de accidentes de trabajo investigados/Numero de accidentes de trabajo ocurridos)*100</t>
  </si>
  <si>
    <t>En el mes X se presentaron x accidentes de los cuales se investigaron el X%</t>
  </si>
  <si>
    <t>META</t>
  </si>
  <si>
    <t>TIPO DE LESION</t>
  </si>
  <si>
    <t>CANTIDAD</t>
  </si>
  <si>
    <t>Efecto del tiempo, del clima u otro relacionado con el ambiente</t>
  </si>
  <si>
    <t>Golpe o contusión</t>
  </si>
  <si>
    <t>Herida</t>
  </si>
  <si>
    <t>Lesiones múltiples</t>
  </si>
  <si>
    <t>Torcedura, esguince, desgarro muscular, hernia o laceración de musculo o tendón sin herida (25)</t>
  </si>
  <si>
    <t>Trauma superficial (incluye rasguño, punción o pinchazo y lesión en ojo por cuerpo extraño)</t>
  </si>
  <si>
    <t>Cabeza</t>
  </si>
  <si>
    <t>Cuello</t>
  </si>
  <si>
    <t>Manos</t>
  </si>
  <si>
    <t>Miembros inferiores</t>
  </si>
  <si>
    <t>Miembros superiores</t>
  </si>
  <si>
    <t>Ojo</t>
  </si>
  <si>
    <t>Pies</t>
  </si>
  <si>
    <t>Tronco (incluye espalda, columna vertebral, medula espinal, pelvis)</t>
  </si>
  <si>
    <t>Ubicaciones múltiples</t>
  </si>
  <si>
    <t>PARTE DEL CUERPO AFECTADA</t>
  </si>
  <si>
    <t>Aguja/material cortopunzante</t>
  </si>
  <si>
    <t>Ambiente de trabajo (incluye superficies de tránsito y de trabajo, muebles, tejados, en el exterior, interior o subterráneos)</t>
  </si>
  <si>
    <t>Animales (vivos o productos animales)</t>
  </si>
  <si>
    <t>Herramientas, implementos o utensilios</t>
  </si>
  <si>
    <t>Maquinas y/o equipos</t>
  </si>
  <si>
    <t>Materiales o sustancias</t>
  </si>
  <si>
    <t>Otros agentes no clasificados</t>
  </si>
  <si>
    <t>AGENTE DE LESION</t>
  </si>
  <si>
    <t>MECANISMO</t>
  </si>
  <si>
    <t>Atrapamientos</t>
  </si>
  <si>
    <t>Caída de objetos</t>
  </si>
  <si>
    <t>Caída de personas</t>
  </si>
  <si>
    <t>Contacto con mezcla de alimento</t>
  </si>
  <si>
    <t>Exposición o contacto con líquidos de precaución universal (líquidos/ secreciones corporales)</t>
  </si>
  <si>
    <t>Mordedura-picadura</t>
  </si>
  <si>
    <t>Otro</t>
  </si>
  <si>
    <t>Pisadas, choques o golpes</t>
  </si>
  <si>
    <t>Sobreesfuerzo, esfuerzo excesivo, o falso movimiento</t>
  </si>
  <si>
    <t>Auxiliar</t>
  </si>
  <si>
    <t>Auxiliar de bodega</t>
  </si>
  <si>
    <t>Conductor</t>
  </si>
  <si>
    <t>Operario</t>
  </si>
  <si>
    <t>CARGO</t>
  </si>
  <si>
    <t>OBSERVACIONES</t>
  </si>
  <si>
    <t>OBERVACIONES</t>
  </si>
  <si>
    <t>CUMPLIMIENTO</t>
  </si>
  <si>
    <t>PROMEDIO</t>
  </si>
  <si>
    <t>Activos a nivel nacional</t>
  </si>
  <si>
    <t>NA</t>
  </si>
  <si>
    <t>Activos sede cauca</t>
  </si>
  <si>
    <t>Activos sede santander</t>
  </si>
  <si>
    <t>Cumplimiento cierre de planes de accion por AT</t>
  </si>
  <si>
    <t>(Numero de planes de accion ejecutados / Numero de planes de accion planeados)*100</t>
  </si>
  <si>
    <t># Plan Acc. Ejec.</t>
  </si>
  <si>
    <t># Plan. Acc. Plan.</t>
  </si>
  <si>
    <t>Numero de accidentes de trabajo que se presentaron en el mes</t>
  </si>
  <si>
    <t>Numero de trabajadores en el mes</t>
  </si>
  <si>
    <t>Resultado</t>
  </si>
  <si>
    <t>PROMEDIO AÑO</t>
  </si>
  <si>
    <t xml:space="preserve">PROMEDIO TASA AÑO </t>
  </si>
  <si>
    <t>Severidad de accidentabilidad a nivel nacional</t>
  </si>
  <si>
    <t>Numero de dias de incapacidad por accidente de trabajo en el mes</t>
  </si>
  <si>
    <t>Cumplimiento de investigacion de accidentes de trabajo</t>
  </si>
  <si>
    <t>Numero de accidentes de trabajo ocurrido</t>
  </si>
  <si>
    <t>Tasa de accidentabilidad sede cauca</t>
  </si>
  <si>
    <t>Tasa de accidentabilidad sede santander</t>
  </si>
  <si>
    <t>Severidad de accidentabilidad sede cauca</t>
  </si>
  <si>
    <t>Severidad de accidentabilidad sede santander</t>
  </si>
  <si>
    <t>Numero de accidentes de trabajo investigado</t>
  </si>
  <si>
    <t>Cumplimiento de ejecucion planes de accion</t>
  </si>
  <si>
    <t>Numero de planes de accion ejecutado</t>
  </si>
  <si>
    <t>Numero de planes de accion planeados</t>
  </si>
  <si>
    <t>Activos nivel nacional</t>
  </si>
  <si>
    <t>Tasa de accidentabilidad nacional</t>
  </si>
  <si>
    <t>Lesiones generales u otras</t>
  </si>
  <si>
    <t xml:space="preserve">PEGAR EN LA PRESENTACION MANTENIENDO EL MISMO FORMATO </t>
  </si>
  <si>
    <t>Mes</t>
  </si>
  <si>
    <t>ENERO</t>
  </si>
  <si>
    <t>FEBRERO</t>
  </si>
  <si>
    <t>MARZO</t>
  </si>
  <si>
    <t>ABRIL</t>
  </si>
  <si>
    <t>MAYO</t>
  </si>
  <si>
    <t>JUNIO</t>
  </si>
  <si>
    <t>JULIO</t>
  </si>
  <si>
    <t>AGOSTO</t>
  </si>
  <si>
    <t>SEPTIEMBRE</t>
  </si>
  <si>
    <t>OCTUBRE</t>
  </si>
  <si>
    <t>NOVIEMBRE</t>
  </si>
  <si>
    <t>DICIEMBRE</t>
  </si>
  <si>
    <t>Total general</t>
  </si>
  <si>
    <t>MES</t>
  </si>
  <si>
    <t>ACTIVOS 2022</t>
  </si>
  <si>
    <t>ACTIVOS 2023</t>
  </si>
  <si>
    <t>DIFERENCIA</t>
  </si>
  <si>
    <t>R* 100</t>
  </si>
  <si>
    <t>% REDUC/AUMENT</t>
  </si>
  <si>
    <t>TOTAL FRECUENCI ACUMULADA</t>
  </si>
  <si>
    <t>Fractura</t>
  </si>
  <si>
    <t>TASA 2025</t>
  </si>
  <si>
    <t>&gt;</t>
  </si>
  <si>
    <t>SEVERIDAD 2025</t>
  </si>
  <si>
    <t># AT por Mes 2025</t>
  </si>
  <si>
    <t xml:space="preserve">Auxiliar agricola </t>
  </si>
  <si>
    <t>NOMBRES Y APELLIDOS</t>
  </si>
  <si>
    <t>ESTADO ACTUAL</t>
  </si>
  <si>
    <t>Seguridad y Salud en el Trabajo</t>
  </si>
  <si>
    <t>Luis Acosta</t>
  </si>
  <si>
    <t>Auxiliar de mantenimiento</t>
  </si>
  <si>
    <t>Auxiliar de cargue y descargue</t>
  </si>
  <si>
    <t>DIAGNOSTICO</t>
  </si>
  <si>
    <t>DIAS DE INCAPACIDAD</t>
  </si>
  <si>
    <t>Tasa de accidentabilidad a nivel nacional</t>
  </si>
  <si>
    <t>Golpe, contusión o aplaztamiento</t>
  </si>
  <si>
    <t>Envenenamiento o Intoxicación aguda o Alergia</t>
  </si>
  <si>
    <t xml:space="preserve">Auxiliar </t>
  </si>
  <si>
    <t>Abdomen</t>
  </si>
  <si>
    <t xml:space="preserve">DIAGNOSTICOS </t>
  </si>
  <si>
    <t>DIAS</t>
  </si>
  <si>
    <t>Operario de Granja</t>
  </si>
  <si>
    <t xml:space="preserve">Operario  </t>
  </si>
  <si>
    <r>
      <t>Durante el mes de</t>
    </r>
    <r>
      <rPr>
        <b/>
        <u/>
        <sz val="9"/>
        <rFont val="GillSans"/>
      </rPr>
      <t xml:space="preserve"> octubre</t>
    </r>
    <r>
      <rPr>
        <b/>
        <sz val="9"/>
        <rFont val="GillSans"/>
      </rPr>
      <t xml:space="preserve"> de 2025 se registró una tasa de accidentalidad del 1,3%, valor que se mantiene igual al obtenido en el mismo periodo del año 2024. En la zona de Santander se presentó un (1) accidente de trabajo, ocurrido el 28 de octubre de 2025, el cual fue reportado e investigado.                                                                                                                                                                                                                                        Durante el mes de </t>
    </r>
    <r>
      <rPr>
        <b/>
        <u/>
        <sz val="9"/>
        <rFont val="GillSans"/>
      </rPr>
      <t>noviembre</t>
    </r>
    <r>
      <rPr>
        <b/>
        <sz val="9"/>
        <rFont val="GillSans"/>
      </rPr>
      <t xml:space="preserve"> de 2025, se registró una tasa de accidentalidad del 8,5%, lo que representa un incremento significativo frente al mismo periodo del año 2024, cuando la tasa fue del 1,8%.
En la zona de Santander se reportaron cinco (5) accidentes de trabajo, ocurridos los días 13, 17, 18, 19 y 23 de noviembre de 2025. Todos los eventos fueron debidamente reportados ante la ARL Positiva y sujetos a investigación conforme a los procedimientos establecidos.
</t>
    </r>
  </si>
  <si>
    <r>
      <t xml:space="preserve">
En </t>
    </r>
    <r>
      <rPr>
        <b/>
        <u/>
        <sz val="9"/>
        <rFont val="GillSans"/>
      </rPr>
      <t>octubre</t>
    </r>
    <r>
      <rPr>
        <b/>
        <sz val="9"/>
        <rFont val="GillSans"/>
      </rPr>
      <t xml:space="preserve"> de 2025, la severidad alcanzó el 9,2 %, mostrando también una reducción considerable en comparación con el 46,5 % reportado en octubre de 2024.                             A nivel nacional, la severidad en el mes de </t>
    </r>
    <r>
      <rPr>
        <b/>
        <u/>
        <sz val="9"/>
        <rFont val="GillSans"/>
      </rPr>
      <t xml:space="preserve">noviembre </t>
    </r>
    <r>
      <rPr>
        <b/>
        <sz val="9"/>
        <rFont val="GillSans"/>
      </rPr>
      <t>de 2025 fue del 6,0 %, lo que representa un aumento significativa frente al 1,6 % registrado en el mismo mes de 2024.</t>
    </r>
  </si>
  <si>
    <r>
      <t xml:space="preserve">En </t>
    </r>
    <r>
      <rPr>
        <b/>
        <u/>
        <sz val="9"/>
        <rFont val="GillSans"/>
      </rPr>
      <t>octubre</t>
    </r>
    <r>
      <rPr>
        <b/>
        <sz val="9"/>
        <rFont val="GillSans"/>
      </rPr>
      <t xml:space="preserve"> de 2025 se registró una severidad del 12,2 %, frente al 115,2 % observado en el mismo mes de 2024, evidenciándose así una considerable reducción respecto al año anterior.                                                                                                                                                                                                                                                                                                                En la sede Cauca, la severidad registrada en </t>
    </r>
    <r>
      <rPr>
        <b/>
        <u/>
        <sz val="9"/>
        <rFont val="GillSans"/>
      </rPr>
      <t>noviembre</t>
    </r>
    <r>
      <rPr>
        <b/>
        <sz val="9"/>
        <rFont val="GillSans"/>
      </rPr>
      <t xml:space="preserve"> de 2025 fue del 0 %, lo que representa una disminución significativa en comparación con el 4,6 % reportado en noviembre de 2024.
</t>
    </r>
  </si>
  <si>
    <r>
      <t>En</t>
    </r>
    <r>
      <rPr>
        <b/>
        <u/>
        <sz val="9"/>
        <rFont val="GillSans"/>
      </rPr>
      <t xml:space="preserve"> octubre</t>
    </r>
    <r>
      <rPr>
        <b/>
        <sz val="9"/>
        <rFont val="GillSans"/>
        <family val="2"/>
      </rPr>
      <t xml:space="preserve"> de 2025 la severidad alcanzó el 6,6 %, evidenciando una reducción en comparación con el 27,7 % registrado en octubre de 2024. 
Por su parte, en </t>
    </r>
    <r>
      <rPr>
        <b/>
        <u/>
        <sz val="9"/>
        <rFont val="GillSans"/>
      </rPr>
      <t>noviembre</t>
    </r>
    <r>
      <rPr>
        <b/>
        <sz val="9"/>
        <rFont val="GillSans"/>
        <family val="2"/>
      </rPr>
      <t xml:space="preserve"> de 2025 la severidad alcanzó el 16,9 %, evidenciando un aumento en comparación con el 7,3 % registrado en noviembre de 2024.</t>
    </r>
  </si>
  <si>
    <r>
      <t xml:space="preserve">Durante el mes de </t>
    </r>
    <r>
      <rPr>
        <b/>
        <u/>
        <sz val="9"/>
        <rFont val="GillSans"/>
      </rPr>
      <t>octubre</t>
    </r>
    <r>
      <rPr>
        <b/>
        <sz val="9"/>
        <rFont val="GillSans"/>
        <family val="2"/>
      </rPr>
      <t xml:space="preserve"> de 2025 se presentaron dos (3) accidentes de trabajo, de los cuales dos ocurrieron en el departamento del Cauca y uno (1) en el departamento de Santander.
En el mes de</t>
    </r>
    <r>
      <rPr>
        <b/>
        <u/>
        <sz val="9"/>
        <rFont val="GillSans"/>
      </rPr>
      <t xml:space="preserve"> noviembre </t>
    </r>
    <r>
      <rPr>
        <b/>
        <sz val="9"/>
        <rFont val="GillSans"/>
        <family val="2"/>
      </rPr>
      <t>de 2025 se registraron cinco (5) accidentes de trabajo, todos en Santander.
A todos los casos se les realizaron las respectivas investigaciones de accidentes de trabajo, elaborada por la Asesora de Prevención correspondiente: Liliana Lozano (Bucaramanga).</t>
    </r>
  </si>
  <si>
    <r>
      <t xml:space="preserve">Para el mes de </t>
    </r>
    <r>
      <rPr>
        <b/>
        <u/>
        <sz val="9"/>
        <rFont val="GillSans"/>
      </rPr>
      <t>octubre,</t>
    </r>
    <r>
      <rPr>
        <b/>
        <sz val="9"/>
        <rFont val="GillSans"/>
        <family val="2"/>
      </rPr>
      <t xml:space="preserve"> se obtuvo una tasa de accidentalidad del 2,2%, evidenciando una reducción significativa en comparación con el mismo periodo del año 2024, cuando se reportó una tasa del 6,5%. En la zona del Cauca se notificó un (1) accidente de trabajo ocurrido el 31 de octubre de 2025, el cual fue debidamente reportado e investigado. Durante el mes de </t>
    </r>
    <r>
      <rPr>
        <b/>
        <u/>
        <sz val="9"/>
        <rFont val="GillSans"/>
      </rPr>
      <t>noviembre</t>
    </r>
    <r>
      <rPr>
        <b/>
        <sz val="9"/>
        <rFont val="GillSans"/>
        <family val="2"/>
      </rPr>
      <t xml:space="preserve"> de 2025 no se registraron accidentes de trabajo en la zona del Cauca.</t>
    </r>
  </si>
  <si>
    <r>
      <t xml:space="preserve">En </t>
    </r>
    <r>
      <rPr>
        <b/>
        <u/>
        <sz val="9"/>
        <rFont val="GillSans"/>
      </rPr>
      <t>octubre</t>
    </r>
    <r>
      <rPr>
        <b/>
        <sz val="9"/>
        <rFont val="GillSans"/>
        <family val="2"/>
      </rPr>
      <t xml:space="preserve"> de 2025 se reportaron 3 accidentes de trabajo, frente a los 4 casos registrados en octubre de 2024.
Por su parte, en </t>
    </r>
    <r>
      <rPr>
        <b/>
        <u/>
        <sz val="9"/>
        <rFont val="GillSans"/>
      </rPr>
      <t>noviembre</t>
    </r>
    <r>
      <rPr>
        <b/>
        <sz val="9"/>
        <rFont val="GillSans"/>
        <family val="2"/>
      </rPr>
      <t xml:space="preserve"> de 2025 se reportaron 5 accidentes de trabajo, frente a los 4 casos registrados en noviembre de 2024.</t>
    </r>
  </si>
  <si>
    <t>Aparatos</t>
  </si>
  <si>
    <t>TASA 2026</t>
  </si>
  <si>
    <t>SEVERIDAD 2026</t>
  </si>
  <si>
    <t xml:space="preserve">Otro, cuerpo extraño en ojo </t>
  </si>
  <si>
    <t xml:space="preserve">Operario de clasificacion </t>
  </si>
  <si>
    <t># AT por Mes 2026</t>
  </si>
  <si>
    <t>Dias Ausentismo 2025</t>
  </si>
  <si>
    <t>Dias Ausentismo 2026</t>
  </si>
  <si>
    <t>FRACTURA DE LA EPIFISIS INFERIOR DEL FEMUR</t>
  </si>
  <si>
    <t>LOCALIDAD</t>
  </si>
  <si>
    <t>IDENTIFICACION</t>
  </si>
  <si>
    <t>ORIGEN</t>
  </si>
  <si>
    <t>SANTOS  SILVA ARIEL  RICARDO</t>
  </si>
  <si>
    <t>Bucaramanga</t>
  </si>
  <si>
    <t xml:space="preserve">PCL </t>
  </si>
  <si>
    <t xml:space="preserve">N/A </t>
  </si>
  <si>
    <t>LEYDER PEREZ CAMPO</t>
  </si>
  <si>
    <t xml:space="preserve">ACCIDENTE DE TRABAJO </t>
  </si>
  <si>
    <t>JHON FREDDY ESCOBAR GOMEZ</t>
  </si>
  <si>
    <t xml:space="preserve">ORIGEN COMUN ACCIDENTE DE TRANSITO </t>
  </si>
  <si>
    <t>HERNANDO NICOLAS LARA RODRIGUEZ</t>
  </si>
  <si>
    <t>RODRÍGUEZ MANRIQUE PEDRO ELIAS</t>
  </si>
  <si>
    <t xml:space="preserve">ORIGEN </t>
  </si>
  <si>
    <t xml:space="preserve">LOCALIDAD </t>
  </si>
  <si>
    <t xml:space="preserve">IDENTIFICACION </t>
  </si>
  <si>
    <t>FRANCISCO JAVIER ANGULO GONZALEZ</t>
  </si>
  <si>
    <t xml:space="preserve">CALOTO </t>
  </si>
  <si>
    <t>ACCIDENTE DE TRABAJO</t>
  </si>
  <si>
    <t xml:space="preserve">CARLOS ARTURO SIERRA LOPEZ </t>
  </si>
  <si>
    <t>PASTO</t>
  </si>
  <si>
    <t>N/A</t>
  </si>
  <si>
    <t>ORIGEN COMUN ACCIDENTE DE TRANSITO</t>
  </si>
  <si>
    <t>MINA PAZ LEYDER</t>
  </si>
  <si>
    <t xml:space="preserve">Operario de granja </t>
  </si>
  <si>
    <t xml:space="preserve">DIAGNOSTICO Y DIAS DE INCAPACIDAD </t>
  </si>
  <si>
    <t>FECHA A.T.</t>
  </si>
  <si>
    <t>BANGUERO VILLEGAS JHON JANER</t>
  </si>
  <si>
    <t>Otro -(Corte)</t>
  </si>
  <si>
    <t>HERIDA DE DEDO(S) DE LA MANO, SIN DANO DE LA(S) UNA(S)</t>
  </si>
  <si>
    <t xml:space="preserve">Otro, corte </t>
  </si>
  <si>
    <t xml:space="preserve">Otro : Impacto disco pulidora </t>
  </si>
  <si>
    <t xml:space="preserve">FRACTURA DE LA DIAFISIS DE LA TIBIA </t>
  </si>
  <si>
    <t xml:space="preserve">FRACTURA DE LA EPIFISIS INFERIOR DEL RADIO </t>
  </si>
  <si>
    <t xml:space="preserve">LUXACION DE LA ARTICULACION DEL HOMBRO </t>
  </si>
  <si>
    <r>
      <rPr>
        <b/>
        <sz val="11"/>
        <color theme="1"/>
        <rFont val="Calibri"/>
        <family val="2"/>
        <scheme val="minor"/>
      </rPr>
      <t>AGOSTO</t>
    </r>
    <r>
      <rPr>
        <sz val="11"/>
        <color theme="1"/>
        <rFont val="Calibri"/>
        <family val="2"/>
        <scheme val="minor"/>
      </rPr>
      <t>: Aun la eps no le ha programado cita, se instauro PQR  a la super salud y un no han dado respuesta. Adionalmente presentó un accidente de transito por el cual le generaron incapacidad</t>
    </r>
  </si>
  <si>
    <r>
      <rPr>
        <b/>
        <sz val="11"/>
        <rFont val="Calibri"/>
        <family val="2"/>
        <scheme val="minor"/>
      </rPr>
      <t xml:space="preserve">AGOSTO: </t>
    </r>
    <r>
      <rPr>
        <sz val="11"/>
        <rFont val="Calibri"/>
        <family val="2"/>
        <scheme val="minor"/>
      </rPr>
      <t xml:space="preserve">Pendiente cita con neurocirijno para revisar la electromiografia que le fue realizda                                             </t>
    </r>
  </si>
  <si>
    <r>
      <rPr>
        <b/>
        <sz val="11"/>
        <color theme="1"/>
        <rFont val="Calibri"/>
        <family val="2"/>
        <scheme val="minor"/>
      </rPr>
      <t>AGOSTO:</t>
    </r>
    <r>
      <rPr>
        <sz val="11"/>
        <color theme="1"/>
        <rFont val="Calibri"/>
        <family val="2"/>
        <scheme val="minor"/>
      </rPr>
      <t xml:space="preserve"> El colaborador estuvo incapacitado durante todo el mes de agosto. actualmente, la vigencia de la incapacidad va hasta el 10 de septiembre.</t>
    </r>
  </si>
  <si>
    <r>
      <rPr>
        <b/>
        <sz val="11"/>
        <rFont val="Calibri"/>
        <family val="2"/>
        <scheme val="minor"/>
      </rPr>
      <t>AGOSTO:</t>
    </r>
    <r>
      <rPr>
        <sz val="11"/>
        <rFont val="Calibri"/>
        <family val="2"/>
        <scheme val="minor"/>
      </rPr>
      <t>RM de hombro evidencia lesión del deltoides. En control de ortopedia (06/07) indican manejo quirúrgico por lesiones Hill-Sachs y Bankart, persiste omalgia izquierda. Remiten a medicina laboral, ortopedia y medicina física/RH. Sin cirugía programada a la fecha. Antecedente de luxación de hombro izquierdo en 2016; ARL solicitó HC de últimos 5 años, entregadas oportunamente. PCL: 0%; se desconoce apelación. Última incapacidad finalizó el 04/09.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</si>
</sst>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4" formatCode="_-&quot;$&quot;\ * #,##0.00_-;\-&quot;$&quot;\ * #,##0.00_-;_-&quot;$&quot;\ * &quot;-&quot;??_-;_-@_-"/>
    <numFmt numFmtId="43" formatCode="_-* #,##0.00_-;\-* #,##0.00_-;_-* &quot;-&quot;??_-;_-@_-"/>
    <numFmt numFmtId="164" formatCode="0.0%"/>
    <numFmt numFmtId="165" formatCode="_-&quot;$&quot;\ * #,##0_-;\-&quot;$&quot;\ * #,##0_-;_-&quot;$&quot;\ * &quot;-&quot;??_-;_-@_-"/>
    <numFmt numFmtId="166" formatCode="0.0"/>
    <numFmt numFmtId="167" formatCode="[$-F800]dddd\,\ mmmm\ dd\,\ yyyy"/>
  </numFmts>
  <fonts count="63">
    <font>
      <sz val="11"/>
      <color theme="1"/>
      <name val="Calibri"/>
      <family val="2"/>
      <scheme val="minor"/>
    </font>
    <font>
      <sz val="11"/>
      <color theme="1"/>
      <name val="Calibri"/>
      <family val="2"/>
      <scheme val="minor"/>
    </font>
    <font>
      <sz val="9"/>
      <color theme="1"/>
      <name val="Arial"/>
      <family val="2"/>
    </font>
    <font>
      <sz val="9"/>
      <color theme="3"/>
      <name val="Arial"/>
      <family val="2"/>
    </font>
    <font>
      <b/>
      <sz val="10"/>
      <color theme="1"/>
      <name val="GillSans"/>
      <family val="2"/>
    </font>
    <font>
      <sz val="11"/>
      <color theme="1"/>
      <name val="GillSans"/>
      <family val="2"/>
    </font>
    <font>
      <sz val="9"/>
      <color theme="1"/>
      <name val="GillSans"/>
      <family val="2"/>
    </font>
    <font>
      <b/>
      <sz val="9"/>
      <color theme="0"/>
      <name val="GillSans"/>
      <family val="2"/>
    </font>
    <font>
      <b/>
      <sz val="9"/>
      <color theme="1"/>
      <name val="GillSans"/>
      <family val="2"/>
    </font>
    <font>
      <b/>
      <sz val="9"/>
      <color theme="1"/>
      <name val="Arial"/>
      <family val="2"/>
    </font>
    <font>
      <b/>
      <sz val="11"/>
      <color theme="1"/>
      <name val="GillSans"/>
      <family val="2"/>
    </font>
    <font>
      <sz val="9"/>
      <color theme="1"/>
      <name val="Calibri"/>
      <family val="2"/>
      <scheme val="minor"/>
    </font>
    <font>
      <b/>
      <sz val="9"/>
      <color theme="0"/>
      <name val="GillSans"/>
    </font>
    <font>
      <b/>
      <sz val="9"/>
      <name val="GillSans"/>
      <family val="2"/>
    </font>
    <font>
      <b/>
      <sz val="11"/>
      <color theme="1"/>
      <name val="Arial"/>
      <family val="2"/>
    </font>
    <font>
      <b/>
      <sz val="10"/>
      <color theme="1"/>
      <name val="Arial"/>
      <family val="2"/>
    </font>
    <font>
      <b/>
      <sz val="12"/>
      <color theme="1"/>
      <name val="Arial"/>
      <family val="2"/>
    </font>
    <font>
      <b/>
      <sz val="20"/>
      <color theme="1"/>
      <name val="Arial"/>
      <family val="2"/>
    </font>
    <font>
      <sz val="8"/>
      <color theme="1"/>
      <name val="GillSans"/>
    </font>
    <font>
      <b/>
      <sz val="11"/>
      <color theme="1"/>
      <name val="GillSans"/>
    </font>
    <font>
      <sz val="9"/>
      <color theme="0" tint="-0.249977111117893"/>
      <name val="GillSans"/>
    </font>
    <font>
      <b/>
      <sz val="10"/>
      <color theme="1"/>
      <name val="Calibri"/>
      <family val="2"/>
      <scheme val="minor"/>
    </font>
    <font>
      <sz val="9"/>
      <color theme="0" tint="-0.249977111117893"/>
      <name val="GillSans"/>
      <family val="2"/>
    </font>
    <font>
      <sz val="11"/>
      <color theme="1"/>
      <name val="Arial"/>
      <family val="2"/>
    </font>
    <font>
      <sz val="12"/>
      <color theme="1"/>
      <name val="Arial"/>
      <family val="2"/>
    </font>
    <font>
      <sz val="10"/>
      <color theme="1"/>
      <name val="Arial"/>
      <family val="2"/>
    </font>
    <font>
      <b/>
      <sz val="11"/>
      <color theme="0"/>
      <name val="Calibri"/>
      <family val="2"/>
      <scheme val="minor"/>
    </font>
    <font>
      <b/>
      <sz val="12"/>
      <name val="Gill Sans MT"/>
      <family val="2"/>
    </font>
    <font>
      <sz val="10"/>
      <color rgb="FF25287F"/>
      <name val="Gill Sans MT"/>
      <family val="2"/>
    </font>
    <font>
      <b/>
      <sz val="14"/>
      <name val="Gill Sans MT"/>
      <family val="2"/>
    </font>
    <font>
      <sz val="10"/>
      <color theme="1"/>
      <name val="Calibri"/>
      <family val="2"/>
      <scheme val="minor"/>
    </font>
    <font>
      <sz val="10"/>
      <name val="GillSans"/>
      <family val="2"/>
    </font>
    <font>
      <sz val="11"/>
      <name val="GillSans"/>
      <family val="2"/>
    </font>
    <font>
      <sz val="9"/>
      <name val="GillSans"/>
    </font>
    <font>
      <b/>
      <sz val="20"/>
      <color theme="1"/>
      <name val="GillSans"/>
    </font>
    <font>
      <sz val="9"/>
      <name val="GillSans"/>
      <family val="2"/>
    </font>
    <font>
      <sz val="9"/>
      <color rgb="FFC00000"/>
      <name val="GillSans"/>
    </font>
    <font>
      <sz val="8"/>
      <name val="Calibri"/>
      <family val="2"/>
      <scheme val="minor"/>
    </font>
    <font>
      <b/>
      <sz val="9"/>
      <color theme="1"/>
      <name val="Calibri"/>
      <family val="2"/>
      <scheme val="minor"/>
    </font>
    <font>
      <b/>
      <sz val="8"/>
      <color theme="1"/>
      <name val="GillSans"/>
    </font>
    <font>
      <b/>
      <sz val="11"/>
      <color theme="1"/>
      <name val="Calibri"/>
      <family val="2"/>
      <scheme val="minor"/>
    </font>
    <font>
      <b/>
      <sz val="9"/>
      <color theme="1"/>
      <name val="GillSans"/>
    </font>
    <font>
      <sz val="9"/>
      <color theme="1"/>
      <name val="GillSans"/>
    </font>
    <font>
      <b/>
      <sz val="9"/>
      <name val="GillSans"/>
    </font>
    <font>
      <sz val="11"/>
      <color rgb="FF000000"/>
      <name val="Calibri"/>
      <family val="2"/>
      <scheme val="minor"/>
    </font>
    <font>
      <sz val="12"/>
      <name val="GillSans"/>
    </font>
    <font>
      <b/>
      <sz val="24"/>
      <color rgb="FFFF0000"/>
      <name val="Calibri"/>
      <family val="2"/>
      <scheme val="minor"/>
    </font>
    <font>
      <b/>
      <sz val="11"/>
      <color rgb="FFFF0000"/>
      <name val="Calibri"/>
      <family val="2"/>
      <scheme val="minor"/>
    </font>
    <font>
      <sz val="12"/>
      <color rgb="FFFFFFFF"/>
      <name val="Anton"/>
    </font>
    <font>
      <sz val="11"/>
      <color theme="1"/>
      <name val="Century Gothic"/>
      <family val="1"/>
    </font>
    <font>
      <b/>
      <sz val="14"/>
      <color theme="1"/>
      <name val="Calibri"/>
      <family val="2"/>
      <scheme val="minor"/>
    </font>
    <font>
      <b/>
      <sz val="14"/>
      <color theme="0"/>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sz val="11"/>
      <name val="Calibri"/>
      <family val="2"/>
      <scheme val="minor"/>
    </font>
    <font>
      <b/>
      <sz val="14"/>
      <color theme="1"/>
      <name val="Arial"/>
      <family val="2"/>
    </font>
    <font>
      <sz val="11"/>
      <color rgb="FF000000"/>
      <name val="Calibri"/>
      <family val="2"/>
      <scheme val="minor"/>
    </font>
    <font>
      <sz val="8"/>
      <name val="GillSans"/>
    </font>
    <font>
      <b/>
      <u/>
      <sz val="9"/>
      <name val="GillSans"/>
    </font>
    <font>
      <sz val="9"/>
      <name val="Calibri"/>
      <family val="2"/>
      <scheme val="minor"/>
    </font>
    <font>
      <sz val="12"/>
      <name val="Anton"/>
    </font>
    <font>
      <b/>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99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8"/>
        <bgColor indexed="64"/>
      </patternFill>
    </fill>
    <fill>
      <patternFill patternType="solid">
        <fgColor rgb="FF008F00"/>
        <bgColor indexed="64"/>
      </patternFill>
    </fill>
    <fill>
      <patternFill patternType="solid">
        <fgColor theme="4" tint="0.79998168889431442"/>
        <bgColor theme="4" tint="0.79998168889431442"/>
      </patternFill>
    </fill>
    <fill>
      <patternFill patternType="solid">
        <fgColor rgb="FF99CC00"/>
        <bgColor indexed="64"/>
      </patternFill>
    </fill>
  </fills>
  <borders count="5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right style="thin">
        <color theme="6" tint="0.39997558519241921"/>
      </right>
      <top style="thin">
        <color theme="6" tint="0.39997558519241921"/>
      </top>
      <bottom style="thin">
        <color theme="6"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medium">
        <color indexed="64"/>
      </left>
      <right style="medium">
        <color indexed="64"/>
      </right>
      <top/>
      <bottom/>
      <diagonal/>
    </border>
  </borders>
  <cellStyleXfs count="10">
    <xf numFmtId="0" fontId="0" fillId="0" borderId="0"/>
    <xf numFmtId="41"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00">
    <xf numFmtId="0" fontId="0" fillId="0" borderId="0" xfId="0"/>
    <xf numFmtId="0" fontId="2" fillId="2" borderId="0" xfId="0" applyFont="1" applyFill="1" applyAlignment="1">
      <alignment vertical="center" wrapText="1"/>
    </xf>
    <xf numFmtId="0" fontId="2" fillId="2" borderId="0" xfId="0" applyFont="1" applyFill="1" applyAlignment="1">
      <alignment vertical="center"/>
    </xf>
    <xf numFmtId="0" fontId="9" fillId="2" borderId="0" xfId="0" applyFont="1" applyFill="1" applyAlignment="1">
      <alignment horizontal="center" vertical="center" wrapText="1"/>
    </xf>
    <xf numFmtId="0" fontId="9" fillId="2" borderId="0" xfId="0" applyFont="1" applyFill="1" applyAlignment="1">
      <alignment vertical="center" wrapText="1"/>
    </xf>
    <xf numFmtId="0" fontId="2" fillId="2" borderId="14" xfId="0" applyFont="1" applyFill="1" applyBorder="1" applyAlignment="1">
      <alignment vertical="center" wrapText="1"/>
    </xf>
    <xf numFmtId="0" fontId="6" fillId="2" borderId="17" xfId="0" applyFont="1" applyFill="1" applyBorder="1" applyAlignment="1">
      <alignment vertical="center" wrapText="1"/>
    </xf>
    <xf numFmtId="0" fontId="6" fillId="2" borderId="18" xfId="0" applyFont="1" applyFill="1" applyBorder="1" applyAlignment="1">
      <alignment vertical="center" wrapText="1"/>
    </xf>
    <xf numFmtId="0" fontId="6" fillId="2" borderId="19" xfId="0" applyFont="1" applyFill="1" applyBorder="1" applyAlignment="1">
      <alignment vertical="center" wrapText="1"/>
    </xf>
    <xf numFmtId="0" fontId="5" fillId="2" borderId="15" xfId="0" applyFont="1" applyFill="1" applyBorder="1" applyAlignment="1">
      <alignment vertical="center" wrapText="1"/>
    </xf>
    <xf numFmtId="0" fontId="13" fillId="0" borderId="12" xfId="0" applyFont="1" applyBorder="1" applyAlignment="1">
      <alignment horizontal="center" vertical="center" wrapText="1"/>
    </xf>
    <xf numFmtId="0" fontId="6" fillId="2" borderId="2" xfId="0" applyFont="1" applyFill="1" applyBorder="1" applyAlignment="1">
      <alignment horizontal="center" vertical="center" wrapText="1"/>
    </xf>
    <xf numFmtId="41" fontId="11" fillId="0" borderId="2" xfId="0" applyNumberFormat="1" applyFont="1" applyBorder="1" applyAlignment="1">
      <alignment horizontal="center" vertical="center"/>
    </xf>
    <xf numFmtId="41" fontId="11" fillId="0" borderId="12" xfId="0" applyNumberFormat="1" applyFont="1" applyBorder="1" applyAlignment="1">
      <alignment horizontal="center" vertical="center"/>
    </xf>
    <xf numFmtId="41" fontId="11" fillId="0" borderId="2" xfId="1" applyFont="1" applyBorder="1" applyAlignment="1">
      <alignment horizontal="center" vertical="center"/>
    </xf>
    <xf numFmtId="0" fontId="10" fillId="2" borderId="37" xfId="0" applyFont="1" applyFill="1" applyBorder="1" applyAlignment="1">
      <alignment horizontal="left" vertical="center" wrapText="1"/>
    </xf>
    <xf numFmtId="0" fontId="8" fillId="2" borderId="40" xfId="0" applyFont="1" applyFill="1" applyBorder="1" applyAlignment="1">
      <alignment vertical="center" wrapText="1"/>
    </xf>
    <xf numFmtId="0" fontId="18" fillId="2" borderId="37" xfId="0" applyFont="1" applyFill="1" applyBorder="1" applyAlignment="1">
      <alignment vertical="center" wrapText="1"/>
    </xf>
    <xf numFmtId="0" fontId="8" fillId="2" borderId="37" xfId="0" applyFont="1" applyFill="1" applyBorder="1" applyAlignment="1">
      <alignment vertical="center" wrapText="1"/>
    </xf>
    <xf numFmtId="0" fontId="6" fillId="2" borderId="12" xfId="0" applyFont="1" applyFill="1" applyBorder="1" applyAlignment="1">
      <alignment horizontal="center" vertical="center" wrapText="1"/>
    </xf>
    <xf numFmtId="0" fontId="7" fillId="4" borderId="37" xfId="0" applyFont="1" applyFill="1" applyBorder="1" applyAlignment="1">
      <alignment vertical="center" wrapText="1"/>
    </xf>
    <xf numFmtId="0" fontId="7" fillId="4" borderId="38" xfId="0" applyFont="1" applyFill="1" applyBorder="1" applyAlignment="1">
      <alignment vertical="center" wrapText="1"/>
    </xf>
    <xf numFmtId="0" fontId="7" fillId="4" borderId="2"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7" fillId="4" borderId="12" xfId="0" applyFont="1" applyFill="1" applyBorder="1" applyAlignment="1">
      <alignment horizontal="center" vertical="center" wrapText="1"/>
    </xf>
    <xf numFmtId="164" fontId="19" fillId="2" borderId="2" xfId="2" applyNumberFormat="1" applyFont="1" applyFill="1" applyBorder="1" applyAlignment="1">
      <alignment horizontal="center" vertical="center" wrapText="1"/>
    </xf>
    <xf numFmtId="0" fontId="11" fillId="0" borderId="2" xfId="1" applyNumberFormat="1" applyFont="1" applyBorder="1" applyAlignment="1">
      <alignment horizontal="center" vertical="center"/>
    </xf>
    <xf numFmtId="0" fontId="11" fillId="0" borderId="2" xfId="0" applyFont="1" applyBorder="1" applyAlignment="1">
      <alignment horizontal="center" vertical="center"/>
    </xf>
    <xf numFmtId="164" fontId="12" fillId="3" borderId="3" xfId="0" applyNumberFormat="1" applyFont="1" applyFill="1" applyBorder="1" applyAlignment="1">
      <alignment horizontal="center" vertical="center" wrapText="1"/>
    </xf>
    <xf numFmtId="164" fontId="19" fillId="2" borderId="12" xfId="2" applyNumberFormat="1" applyFont="1" applyFill="1" applyBorder="1" applyAlignment="1">
      <alignment horizontal="center" vertical="center" wrapText="1"/>
    </xf>
    <xf numFmtId="164" fontId="12" fillId="3" borderId="12" xfId="0" applyNumberFormat="1" applyFont="1" applyFill="1" applyBorder="1" applyAlignment="1">
      <alignment horizontal="center" vertical="center" wrapText="1"/>
    </xf>
    <xf numFmtId="0" fontId="6" fillId="2" borderId="2" xfId="0" applyFont="1" applyFill="1" applyBorder="1" applyAlignment="1">
      <alignment vertical="center"/>
    </xf>
    <xf numFmtId="0" fontId="21" fillId="2" borderId="2" xfId="0" applyFont="1" applyFill="1" applyBorder="1" applyAlignment="1">
      <alignment horizontal="center"/>
    </xf>
    <xf numFmtId="0" fontId="15" fillId="0" borderId="2" xfId="0" applyFont="1" applyBorder="1" applyAlignment="1">
      <alignment vertical="center" wrapText="1"/>
    </xf>
    <xf numFmtId="0" fontId="2" fillId="0" borderId="2" xfId="0" applyFont="1" applyBorder="1" applyAlignment="1">
      <alignment horizontal="left" vertical="center"/>
    </xf>
    <xf numFmtId="14" fontId="2" fillId="0" borderId="2" xfId="0" applyNumberFormat="1" applyFont="1" applyBorder="1" applyAlignment="1">
      <alignment horizontal="left" vertical="center"/>
    </xf>
    <xf numFmtId="0" fontId="14" fillId="0" borderId="2" xfId="0" applyFont="1" applyBorder="1" applyAlignment="1">
      <alignment horizontal="center"/>
    </xf>
    <xf numFmtId="0" fontId="23" fillId="0" borderId="2" xfId="0" applyFont="1" applyBorder="1" applyAlignment="1">
      <alignment horizontal="center"/>
    </xf>
    <xf numFmtId="0" fontId="24" fillId="0" borderId="0" xfId="0" applyFont="1"/>
    <xf numFmtId="0" fontId="25" fillId="0" borderId="2" xfId="0" applyFont="1" applyBorder="1" applyAlignment="1">
      <alignment horizontal="left"/>
    </xf>
    <xf numFmtId="0" fontId="0" fillId="0" borderId="17" xfId="0" applyBorder="1"/>
    <xf numFmtId="0" fontId="0" fillId="0" borderId="18" xfId="0" applyBorder="1"/>
    <xf numFmtId="0" fontId="0" fillId="0" borderId="18" xfId="0" applyBorder="1" applyAlignment="1">
      <alignment horizontal="center" vertical="center"/>
    </xf>
    <xf numFmtId="0" fontId="0" fillId="0" borderId="19" xfId="0" applyBorder="1"/>
    <xf numFmtId="0" fontId="28" fillId="2" borderId="7" xfId="0" applyFont="1" applyFill="1" applyBorder="1"/>
    <xf numFmtId="0" fontId="11" fillId="0" borderId="0" xfId="0" applyFont="1"/>
    <xf numFmtId="0" fontId="0" fillId="0" borderId="18" xfId="0" applyBorder="1" applyAlignment="1">
      <alignment wrapText="1"/>
    </xf>
    <xf numFmtId="0" fontId="0" fillId="0" borderId="0" xfId="0" applyAlignment="1">
      <alignment wrapText="1"/>
    </xf>
    <xf numFmtId="1" fontId="11" fillId="0" borderId="2" xfId="1" applyNumberFormat="1" applyFont="1" applyBorder="1" applyAlignment="1">
      <alignment horizontal="center" vertical="center"/>
    </xf>
    <xf numFmtId="0" fontId="0" fillId="0" borderId="0" xfId="0" applyAlignment="1">
      <alignment horizontal="center" vertical="center"/>
    </xf>
    <xf numFmtId="0" fontId="0" fillId="4" borderId="13" xfId="0" applyFill="1" applyBorder="1"/>
    <xf numFmtId="0" fontId="0" fillId="4" borderId="41" xfId="0" applyFill="1" applyBorder="1" applyAlignment="1">
      <alignment horizontal="center" vertical="center"/>
    </xf>
    <xf numFmtId="0" fontId="0" fillId="4" borderId="41" xfId="0" applyFill="1" applyBorder="1"/>
    <xf numFmtId="0" fontId="0" fillId="4" borderId="41" xfId="0" applyFill="1" applyBorder="1" applyAlignment="1">
      <alignment wrapText="1"/>
    </xf>
    <xf numFmtId="0" fontId="0" fillId="4" borderId="42" xfId="0" applyFill="1" applyBorder="1"/>
    <xf numFmtId="0" fontId="0" fillId="4" borderId="14" xfId="0" applyFill="1" applyBorder="1"/>
    <xf numFmtId="0" fontId="0" fillId="4" borderId="14" xfId="0" applyFill="1" applyBorder="1" applyAlignment="1">
      <alignment horizontal="right"/>
    </xf>
    <xf numFmtId="0" fontId="0" fillId="4" borderId="17" xfId="0" applyFill="1" applyBorder="1"/>
    <xf numFmtId="0" fontId="0" fillId="4" borderId="18" xfId="0" applyFill="1" applyBorder="1" applyAlignment="1">
      <alignment horizontal="center" vertical="center"/>
    </xf>
    <xf numFmtId="0" fontId="0" fillId="4" borderId="18" xfId="0" applyFill="1" applyBorder="1"/>
    <xf numFmtId="0" fontId="0" fillId="4" borderId="18" xfId="0" applyFill="1" applyBorder="1" applyAlignment="1">
      <alignment wrapText="1"/>
    </xf>
    <xf numFmtId="0" fontId="0" fillId="4" borderId="0" xfId="0" applyFill="1" applyAlignment="1">
      <alignment horizontal="center" vertical="center"/>
    </xf>
    <xf numFmtId="0" fontId="0" fillId="4" borderId="15" xfId="0" applyFill="1" applyBorder="1"/>
    <xf numFmtId="0" fontId="0" fillId="4" borderId="15" xfId="0" applyFill="1" applyBorder="1" applyAlignment="1">
      <alignment horizontal="right"/>
    </xf>
    <xf numFmtId="0" fontId="28" fillId="2" borderId="36" xfId="0" applyFont="1" applyFill="1" applyBorder="1"/>
    <xf numFmtId="41" fontId="11" fillId="0" borderId="12" xfId="0" applyNumberFormat="1" applyFont="1" applyBorder="1" applyAlignment="1">
      <alignment vertical="center"/>
    </xf>
    <xf numFmtId="0" fontId="26" fillId="4" borderId="43" xfId="0" applyFont="1" applyFill="1" applyBorder="1" applyAlignment="1">
      <alignment horizontal="center" vertical="center"/>
    </xf>
    <xf numFmtId="0" fontId="0" fillId="6" borderId="2" xfId="0" applyFill="1" applyBorder="1" applyAlignment="1">
      <alignment horizontal="center" vertical="center"/>
    </xf>
    <xf numFmtId="0" fontId="21" fillId="6" borderId="2" xfId="0" applyFont="1" applyFill="1" applyBorder="1" applyAlignment="1">
      <alignment vertical="center" wrapText="1"/>
    </xf>
    <xf numFmtId="0" fontId="30" fillId="6" borderId="2" xfId="0" applyFont="1" applyFill="1" applyBorder="1" applyAlignment="1">
      <alignment vertical="center" wrapText="1"/>
    </xf>
    <xf numFmtId="0" fontId="0" fillId="6" borderId="44" xfId="0" applyFill="1" applyBorder="1" applyAlignment="1">
      <alignment vertical="center"/>
    </xf>
    <xf numFmtId="0" fontId="0" fillId="6" borderId="11" xfId="0" applyFill="1" applyBorder="1" applyAlignment="1">
      <alignment vertical="center"/>
    </xf>
    <xf numFmtId="0" fontId="26" fillId="4" borderId="43" xfId="0" applyFont="1" applyFill="1" applyBorder="1" applyAlignment="1">
      <alignment horizontal="center" vertical="center" wrapText="1"/>
    </xf>
    <xf numFmtId="0" fontId="21" fillId="6" borderId="2" xfId="0" applyFont="1" applyFill="1" applyBorder="1" applyAlignment="1">
      <alignment horizontal="center" vertical="center"/>
    </xf>
    <xf numFmtId="0" fontId="30" fillId="6" borderId="2" xfId="0" applyFont="1" applyFill="1" applyBorder="1" applyAlignment="1">
      <alignment horizontal="center" vertical="center"/>
    </xf>
    <xf numFmtId="9" fontId="30" fillId="6" borderId="2" xfId="2" applyFont="1" applyFill="1" applyBorder="1" applyAlignment="1">
      <alignment horizontal="center" vertical="center"/>
    </xf>
    <xf numFmtId="1" fontId="30" fillId="6" borderId="2" xfId="0" applyNumberFormat="1" applyFont="1" applyFill="1" applyBorder="1" applyAlignment="1">
      <alignment horizontal="center" vertical="center"/>
    </xf>
    <xf numFmtId="1" fontId="30" fillId="6" borderId="2" xfId="1" applyNumberFormat="1" applyFont="1" applyFill="1" applyBorder="1" applyAlignment="1">
      <alignment horizontal="center" vertical="center"/>
    </xf>
    <xf numFmtId="0" fontId="21" fillId="6" borderId="11" xfId="2" applyNumberFormat="1" applyFont="1" applyFill="1" applyBorder="1" applyAlignment="1">
      <alignment horizontal="center" vertical="center" wrapText="1"/>
    </xf>
    <xf numFmtId="0" fontId="21" fillId="6" borderId="2" xfId="3" applyNumberFormat="1" applyFont="1" applyFill="1" applyBorder="1" applyAlignment="1">
      <alignment horizontal="center" vertical="center"/>
    </xf>
    <xf numFmtId="0" fontId="30" fillId="6" borderId="2" xfId="3" applyNumberFormat="1" applyFont="1" applyFill="1" applyBorder="1" applyAlignment="1">
      <alignment horizontal="center" vertical="center"/>
    </xf>
    <xf numFmtId="165" fontId="30" fillId="6" borderId="2" xfId="3" applyNumberFormat="1" applyFont="1" applyFill="1" applyBorder="1" applyAlignment="1">
      <alignment horizontal="center" vertical="center"/>
    </xf>
    <xf numFmtId="0" fontId="0" fillId="6" borderId="43" xfId="0" applyFill="1" applyBorder="1" applyAlignment="1">
      <alignment vertical="center"/>
    </xf>
    <xf numFmtId="0" fontId="0" fillId="6" borderId="2" xfId="0" applyFill="1" applyBorder="1" applyAlignment="1">
      <alignment vertical="center" wrapText="1"/>
    </xf>
    <xf numFmtId="0" fontId="0" fillId="6" borderId="2" xfId="0" applyFill="1" applyBorder="1"/>
    <xf numFmtId="0" fontId="12" fillId="3" borderId="12" xfId="2" applyNumberFormat="1" applyFont="1" applyFill="1" applyBorder="1" applyAlignment="1">
      <alignment horizontal="center" vertical="center" wrapText="1"/>
    </xf>
    <xf numFmtId="2" fontId="30" fillId="6" borderId="2" xfId="0" applyNumberFormat="1" applyFont="1" applyFill="1" applyBorder="1" applyAlignment="1">
      <alignment horizontal="center" vertical="center"/>
    </xf>
    <xf numFmtId="166" fontId="30" fillId="6" borderId="2" xfId="0" applyNumberFormat="1" applyFont="1" applyFill="1" applyBorder="1" applyAlignment="1">
      <alignment horizontal="center" vertical="center"/>
    </xf>
    <xf numFmtId="1" fontId="30" fillId="6" borderId="2" xfId="1" applyNumberFormat="1" applyFont="1" applyFill="1" applyBorder="1" applyAlignment="1">
      <alignment horizontal="center" vertical="center" wrapText="1"/>
    </xf>
    <xf numFmtId="0" fontId="2" fillId="2" borderId="2" xfId="0" applyFont="1" applyFill="1" applyBorder="1" applyAlignment="1">
      <alignment vertical="center" wrapText="1"/>
    </xf>
    <xf numFmtId="166" fontId="38" fillId="0" borderId="2" xfId="1" applyNumberFormat="1" applyFont="1" applyBorder="1" applyAlignment="1">
      <alignment horizontal="center" vertical="center"/>
    </xf>
    <xf numFmtId="0" fontId="39" fillId="2" borderId="37" xfId="0" applyFont="1" applyFill="1" applyBorder="1" applyAlignment="1">
      <alignment vertical="center" wrapText="1"/>
    </xf>
    <xf numFmtId="0" fontId="6" fillId="2" borderId="14" xfId="0" applyFont="1" applyFill="1" applyBorder="1" applyAlignment="1">
      <alignment vertical="center" wrapText="1"/>
    </xf>
    <xf numFmtId="0" fontId="6" fillId="2" borderId="0" xfId="0" applyFont="1" applyFill="1" applyAlignment="1">
      <alignment vertical="center" wrapText="1"/>
    </xf>
    <xf numFmtId="0" fontId="18" fillId="2" borderId="37" xfId="0" applyFont="1" applyFill="1" applyBorder="1" applyAlignment="1">
      <alignment horizontal="center" vertical="center" wrapText="1"/>
    </xf>
    <xf numFmtId="166" fontId="38" fillId="4" borderId="2" xfId="1" applyNumberFormat="1" applyFont="1" applyFill="1" applyBorder="1" applyAlignment="1">
      <alignment horizontal="center" vertical="center"/>
    </xf>
    <xf numFmtId="0" fontId="41" fillId="4" borderId="37" xfId="0" applyFont="1" applyFill="1" applyBorder="1" applyAlignment="1">
      <alignment vertical="center" wrapText="1"/>
    </xf>
    <xf numFmtId="0" fontId="42" fillId="2" borderId="37" xfId="0" applyFont="1" applyFill="1" applyBorder="1" applyAlignment="1">
      <alignment horizontal="center" vertical="center" wrapText="1"/>
    </xf>
    <xf numFmtId="166" fontId="2" fillId="2" borderId="0" xfId="0" applyNumberFormat="1" applyFont="1" applyFill="1" applyAlignment="1">
      <alignment vertical="center" wrapText="1"/>
    </xf>
    <xf numFmtId="0" fontId="0" fillId="0" borderId="2" xfId="0" applyBorder="1"/>
    <xf numFmtId="0" fontId="43" fillId="3" borderId="3" xfId="2" applyNumberFormat="1" applyFont="1" applyFill="1" applyBorder="1" applyAlignment="1">
      <alignment horizontal="center" vertical="center" wrapText="1"/>
    </xf>
    <xf numFmtId="0" fontId="40" fillId="5" borderId="2" xfId="0" applyFont="1" applyFill="1"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right" vertical="center" wrapText="1"/>
    </xf>
    <xf numFmtId="0" fontId="44" fillId="0" borderId="2" xfId="0" applyFont="1" applyBorder="1" applyAlignment="1">
      <alignment vertical="center"/>
    </xf>
    <xf numFmtId="0" fontId="44" fillId="0" borderId="2" xfId="0" applyFont="1" applyBorder="1" applyAlignment="1">
      <alignment horizontal="right" vertical="center"/>
    </xf>
    <xf numFmtId="0" fontId="0" fillId="0" borderId="47" xfId="0" applyBorder="1" applyAlignment="1">
      <alignment vertical="center"/>
    </xf>
    <xf numFmtId="0" fontId="0" fillId="0" borderId="50" xfId="0" applyBorder="1" applyAlignment="1">
      <alignment vertical="center"/>
    </xf>
    <xf numFmtId="0" fontId="0" fillId="0" borderId="51" xfId="0" applyBorder="1" applyAlignment="1">
      <alignment vertical="center"/>
    </xf>
    <xf numFmtId="0" fontId="0" fillId="0" borderId="19" xfId="0" applyBorder="1" applyAlignment="1">
      <alignment vertical="center"/>
    </xf>
    <xf numFmtId="2" fontId="38" fillId="4" borderId="2" xfId="2" applyNumberFormat="1" applyFont="1" applyFill="1" applyBorder="1" applyAlignment="1">
      <alignment horizontal="center" vertical="center"/>
    </xf>
    <xf numFmtId="0" fontId="11" fillId="7" borderId="2" xfId="0" applyFont="1" applyFill="1" applyBorder="1" applyAlignment="1">
      <alignment horizontal="center" vertical="center"/>
    </xf>
    <xf numFmtId="41" fontId="11" fillId="7" borderId="12" xfId="0" applyNumberFormat="1" applyFont="1" applyFill="1" applyBorder="1" applyAlignment="1">
      <alignment vertical="center"/>
    </xf>
    <xf numFmtId="0" fontId="11" fillId="4" borderId="2" xfId="0" applyFont="1" applyFill="1" applyBorder="1" applyAlignment="1">
      <alignment horizontal="center" vertical="center"/>
    </xf>
    <xf numFmtId="1" fontId="11" fillId="4" borderId="2" xfId="1" applyNumberFormat="1" applyFont="1" applyFill="1" applyBorder="1" applyAlignment="1">
      <alignment horizontal="center" vertical="center"/>
    </xf>
    <xf numFmtId="41" fontId="11" fillId="4" borderId="12" xfId="0" applyNumberFormat="1" applyFont="1" applyFill="1" applyBorder="1" applyAlignment="1">
      <alignment vertical="center"/>
    </xf>
    <xf numFmtId="0" fontId="39" fillId="7" borderId="37" xfId="0" applyFont="1" applyFill="1" applyBorder="1" applyAlignment="1">
      <alignment horizontal="center" vertical="center" wrapText="1"/>
    </xf>
    <xf numFmtId="0" fontId="39" fillId="4" borderId="37" xfId="0" applyFont="1" applyFill="1" applyBorder="1" applyAlignment="1">
      <alignment horizontal="center" vertical="center" wrapText="1"/>
    </xf>
    <xf numFmtId="2" fontId="30" fillId="6" borderId="2" xfId="2" applyNumberFormat="1" applyFont="1" applyFill="1" applyBorder="1" applyAlignment="1">
      <alignment horizontal="center" vertical="center"/>
    </xf>
    <xf numFmtId="166" fontId="30" fillId="6" borderId="2" xfId="2" applyNumberFormat="1" applyFont="1" applyFill="1" applyBorder="1" applyAlignment="1">
      <alignment horizontal="center" vertical="center"/>
    </xf>
    <xf numFmtId="0" fontId="21" fillId="6" borderId="2" xfId="0" applyFont="1" applyFill="1" applyBorder="1" applyAlignment="1">
      <alignment horizontal="right" vertical="center" wrapText="1"/>
    </xf>
    <xf numFmtId="0" fontId="26" fillId="4" borderId="45" xfId="0" applyFont="1" applyFill="1" applyBorder="1" applyAlignment="1">
      <alignment horizontal="center" vertical="center" wrapText="1"/>
    </xf>
    <xf numFmtId="0" fontId="30" fillId="6" borderId="2" xfId="0" applyFont="1" applyFill="1" applyBorder="1" applyAlignment="1">
      <alignment horizontal="right" vertical="center" wrapText="1"/>
    </xf>
    <xf numFmtId="0" fontId="28" fillId="2" borderId="0" xfId="0" applyFont="1" applyFill="1"/>
    <xf numFmtId="0" fontId="26" fillId="4" borderId="52" xfId="0" applyFont="1" applyFill="1" applyBorder="1" applyAlignment="1">
      <alignment horizontal="center" vertical="center" wrapText="1"/>
    </xf>
    <xf numFmtId="0" fontId="28" fillId="2" borderId="0" xfId="0" applyFont="1" applyFill="1" applyAlignment="1">
      <alignment horizontal="center" vertical="center"/>
    </xf>
    <xf numFmtId="1" fontId="30" fillId="6" borderId="2" xfId="2" applyNumberFormat="1" applyFont="1" applyFill="1" applyBorder="1" applyAlignment="1">
      <alignment horizontal="center" vertical="center"/>
    </xf>
    <xf numFmtId="1" fontId="30" fillId="6" borderId="2" xfId="3" applyNumberFormat="1" applyFont="1" applyFill="1" applyBorder="1" applyAlignment="1">
      <alignment horizontal="center" vertical="center"/>
    </xf>
    <xf numFmtId="166" fontId="30" fillId="6" borderId="2" xfId="3" applyNumberFormat="1" applyFont="1" applyFill="1" applyBorder="1" applyAlignment="1">
      <alignment horizontal="center" vertical="center"/>
    </xf>
    <xf numFmtId="0" fontId="40" fillId="6" borderId="2" xfId="0" applyFont="1" applyFill="1" applyBorder="1" applyAlignment="1">
      <alignment horizontal="right" vertical="center" wrapText="1"/>
    </xf>
    <xf numFmtId="0" fontId="21" fillId="6" borderId="2" xfId="0" applyFont="1" applyFill="1" applyBorder="1" applyAlignment="1">
      <alignment vertical="center"/>
    </xf>
    <xf numFmtId="1" fontId="30" fillId="6" borderId="2" xfId="0" applyNumberFormat="1" applyFont="1" applyFill="1" applyBorder="1" applyAlignment="1">
      <alignment vertical="center"/>
    </xf>
    <xf numFmtId="166" fontId="30" fillId="6" borderId="2" xfId="2" applyNumberFormat="1" applyFont="1" applyFill="1" applyBorder="1" applyAlignment="1">
      <alignment vertical="center"/>
    </xf>
    <xf numFmtId="2" fontId="30" fillId="6" borderId="2" xfId="3" applyNumberFormat="1" applyFont="1" applyFill="1" applyBorder="1" applyAlignment="1">
      <alignment horizontal="center" vertical="center"/>
    </xf>
    <xf numFmtId="0" fontId="38" fillId="4" borderId="2" xfId="1" applyNumberFormat="1" applyFont="1" applyFill="1" applyBorder="1" applyAlignment="1">
      <alignment horizontal="center" vertical="center"/>
    </xf>
    <xf numFmtId="0" fontId="47" fillId="0" borderId="0" xfId="0" applyFont="1"/>
    <xf numFmtId="0" fontId="48" fillId="10" borderId="2" xfId="0" applyFont="1" applyFill="1" applyBorder="1" applyAlignment="1">
      <alignment horizontal="center" vertical="center" wrapText="1" readingOrder="1"/>
    </xf>
    <xf numFmtId="0" fontId="49" fillId="2" borderId="2" xfId="0" applyFont="1" applyFill="1" applyBorder="1"/>
    <xf numFmtId="1" fontId="49" fillId="2" borderId="2" xfId="0" applyNumberFormat="1" applyFont="1" applyFill="1" applyBorder="1" applyAlignment="1">
      <alignment horizontal="center"/>
    </xf>
    <xf numFmtId="1" fontId="48" fillId="10" borderId="2" xfId="0" applyNumberFormat="1" applyFont="1" applyFill="1" applyBorder="1" applyAlignment="1">
      <alignment horizontal="center" vertical="center" wrapText="1" readingOrder="1"/>
    </xf>
    <xf numFmtId="0" fontId="50" fillId="0" borderId="0" xfId="0" applyFont="1" applyAlignment="1">
      <alignment horizontal="center" vertical="center"/>
    </xf>
    <xf numFmtId="0" fontId="51" fillId="0" borderId="0" xfId="0" applyFont="1" applyAlignment="1">
      <alignment horizontal="center" vertical="center"/>
    </xf>
    <xf numFmtId="0" fontId="52" fillId="0" borderId="0" xfId="0" applyFont="1"/>
    <xf numFmtId="0" fontId="26" fillId="5" borderId="53" xfId="0" applyFont="1" applyFill="1" applyBorder="1" applyAlignment="1">
      <alignment vertical="center" wrapText="1"/>
    </xf>
    <xf numFmtId="1" fontId="0" fillId="11" borderId="54" xfId="0" applyNumberFormat="1" applyFill="1" applyBorder="1" applyAlignment="1">
      <alignment horizontal="center" vertical="center"/>
    </xf>
    <xf numFmtId="1" fontId="53" fillId="11" borderId="54" xfId="2" applyNumberFormat="1" applyFont="1" applyFill="1" applyBorder="1" applyAlignment="1">
      <alignment horizontal="center" vertical="center"/>
    </xf>
    <xf numFmtId="9" fontId="53" fillId="11" borderId="54" xfId="2" applyFont="1" applyFill="1" applyBorder="1" applyAlignment="1">
      <alignment horizontal="center" vertical="center"/>
    </xf>
    <xf numFmtId="1" fontId="54" fillId="5" borderId="54" xfId="0" applyNumberFormat="1" applyFont="1" applyFill="1" applyBorder="1" applyAlignment="1">
      <alignment horizontal="center" vertical="center"/>
    </xf>
    <xf numFmtId="0" fontId="53" fillId="0" borderId="55" xfId="0" applyFont="1" applyBorder="1" applyAlignment="1">
      <alignment horizontal="center" vertical="center"/>
    </xf>
    <xf numFmtId="1" fontId="53" fillId="0" borderId="54" xfId="2" applyNumberFormat="1" applyFont="1" applyBorder="1" applyAlignment="1">
      <alignment horizontal="center" vertical="center"/>
    </xf>
    <xf numFmtId="9" fontId="53" fillId="0" borderId="54" xfId="2" applyFont="1" applyBorder="1" applyAlignment="1">
      <alignment horizontal="center" vertical="center"/>
    </xf>
    <xf numFmtId="166" fontId="54" fillId="5" borderId="54" xfId="0" applyNumberFormat="1" applyFont="1" applyFill="1" applyBorder="1" applyAlignment="1">
      <alignment horizontal="center" vertical="center"/>
    </xf>
    <xf numFmtId="2" fontId="0" fillId="11" borderId="54" xfId="0" applyNumberFormat="1" applyFill="1" applyBorder="1" applyAlignment="1">
      <alignment horizontal="center" vertical="center"/>
    </xf>
    <xf numFmtId="1" fontId="53" fillId="11" borderId="0" xfId="2" applyNumberFormat="1" applyFont="1" applyFill="1" applyBorder="1" applyAlignment="1">
      <alignment horizontal="center" vertical="center"/>
    </xf>
    <xf numFmtId="9" fontId="53" fillId="11" borderId="0" xfId="2" applyFont="1" applyFill="1" applyBorder="1" applyAlignment="1">
      <alignment horizontal="center" vertical="center"/>
    </xf>
    <xf numFmtId="166" fontId="54" fillId="5" borderId="0" xfId="0" applyNumberFormat="1" applyFont="1" applyFill="1" applyAlignment="1">
      <alignment horizontal="center" vertical="center"/>
    </xf>
    <xf numFmtId="0" fontId="9" fillId="2" borderId="2" xfId="0" applyFont="1" applyFill="1" applyBorder="1" applyAlignment="1">
      <alignment vertical="center" wrapText="1"/>
    </xf>
    <xf numFmtId="0" fontId="2" fillId="7" borderId="2" xfId="0" applyFont="1" applyFill="1" applyBorder="1" applyAlignment="1">
      <alignment vertical="center" wrapText="1"/>
    </xf>
    <xf numFmtId="0" fontId="2" fillId="2" borderId="2" xfId="0" applyFont="1" applyFill="1" applyBorder="1" applyAlignment="1">
      <alignment vertical="center"/>
    </xf>
    <xf numFmtId="0" fontId="0" fillId="0" borderId="0" xfId="0" applyAlignment="1">
      <alignment horizontal="left"/>
    </xf>
    <xf numFmtId="0" fontId="2" fillId="2" borderId="0" xfId="0" applyFont="1" applyFill="1" applyAlignment="1">
      <alignment horizontal="left" vertical="center" wrapText="1"/>
    </xf>
    <xf numFmtId="0" fontId="44" fillId="0" borderId="5" xfId="0" applyFont="1" applyBorder="1" applyAlignment="1">
      <alignment vertical="center"/>
    </xf>
    <xf numFmtId="0" fontId="44" fillId="0" borderId="3" xfId="0" applyFont="1" applyBorder="1" applyAlignment="1">
      <alignment horizontal="right" vertical="center"/>
    </xf>
    <xf numFmtId="0" fontId="0" fillId="5" borderId="9" xfId="0" applyFill="1" applyBorder="1" applyAlignment="1">
      <alignment horizontal="center" vertical="center"/>
    </xf>
    <xf numFmtId="0" fontId="44" fillId="0" borderId="8" xfId="0" applyFont="1" applyBorder="1" applyAlignment="1">
      <alignment vertical="center"/>
    </xf>
    <xf numFmtId="0" fontId="44" fillId="0" borderId="6" xfId="0" applyFont="1" applyBorder="1" applyAlignment="1">
      <alignment horizontal="right" vertical="center"/>
    </xf>
    <xf numFmtId="0" fontId="40" fillId="5" borderId="10" xfId="0" applyFont="1" applyFill="1" applyBorder="1" applyAlignment="1">
      <alignment horizontal="center" vertical="center"/>
    </xf>
    <xf numFmtId="0" fontId="0" fillId="0" borderId="51" xfId="0" applyBorder="1" applyAlignment="1">
      <alignment vertical="center" wrapText="1"/>
    </xf>
    <xf numFmtId="0" fontId="40" fillId="5" borderId="11" xfId="0" applyFont="1" applyFill="1" applyBorder="1" applyAlignment="1">
      <alignment horizontal="center" vertical="center"/>
    </xf>
    <xf numFmtId="0" fontId="0" fillId="5" borderId="11" xfId="0" applyFill="1" applyBorder="1" applyAlignment="1">
      <alignment horizontal="center" vertical="center"/>
    </xf>
    <xf numFmtId="0" fontId="0" fillId="0" borderId="56" xfId="0" applyBorder="1" applyAlignment="1">
      <alignment vertical="center"/>
    </xf>
    <xf numFmtId="0" fontId="0" fillId="0" borderId="15" xfId="0" applyBorder="1" applyAlignment="1">
      <alignment vertical="center"/>
    </xf>
    <xf numFmtId="0" fontId="44" fillId="0" borderId="56" xfId="0" applyFont="1" applyBorder="1" applyAlignment="1">
      <alignment horizontal="right" vertical="center"/>
    </xf>
    <xf numFmtId="0" fontId="26" fillId="5" borderId="2" xfId="0" applyFont="1" applyFill="1" applyBorder="1" applyAlignment="1">
      <alignment horizontal="center"/>
    </xf>
    <xf numFmtId="0" fontId="2" fillId="8" borderId="2" xfId="0" applyFont="1" applyFill="1" applyBorder="1" applyAlignment="1">
      <alignment vertical="center" wrapText="1"/>
    </xf>
    <xf numFmtId="0" fontId="2" fillId="8" borderId="2" xfId="0" applyFont="1" applyFill="1" applyBorder="1" applyAlignment="1">
      <alignment horizontal="center" vertical="center" wrapText="1"/>
    </xf>
    <xf numFmtId="0" fontId="44" fillId="0" borderId="2" xfId="0" applyFont="1" applyBorder="1" applyAlignment="1">
      <alignment vertical="center" wrapText="1"/>
    </xf>
    <xf numFmtId="0" fontId="25" fillId="0" borderId="2" xfId="0" applyFont="1" applyBorder="1" applyAlignment="1">
      <alignment vertical="center" wrapText="1"/>
    </xf>
    <xf numFmtId="0" fontId="25" fillId="0" borderId="2" xfId="0" applyFont="1" applyBorder="1" applyAlignment="1">
      <alignment vertical="center"/>
    </xf>
    <xf numFmtId="0" fontId="25" fillId="2" borderId="2" xfId="0" applyFont="1" applyFill="1" applyBorder="1" applyAlignment="1">
      <alignment vertical="center"/>
    </xf>
    <xf numFmtId="0" fontId="30" fillId="0" borderId="2" xfId="0" applyFont="1" applyBorder="1"/>
    <xf numFmtId="0" fontId="25" fillId="2" borderId="2" xfId="0" applyFont="1" applyFill="1" applyBorder="1" applyAlignment="1">
      <alignment vertical="center" wrapText="1"/>
    </xf>
    <xf numFmtId="0" fontId="56" fillId="12" borderId="2" xfId="0" applyFont="1" applyFill="1" applyBorder="1" applyAlignment="1">
      <alignment horizontal="center" vertical="center" wrapText="1"/>
    </xf>
    <xf numFmtId="0" fontId="57" fillId="0" borderId="5" xfId="0" applyFont="1" applyBorder="1" applyAlignment="1">
      <alignment vertical="center"/>
    </xf>
    <xf numFmtId="0" fontId="57" fillId="0" borderId="3" xfId="0" applyFont="1" applyBorder="1" applyAlignment="1">
      <alignment horizontal="right" vertical="center"/>
    </xf>
    <xf numFmtId="0" fontId="2" fillId="2" borderId="0" xfId="0" applyFont="1" applyFill="1" applyAlignment="1">
      <alignment horizontal="center" vertical="center" wrapText="1"/>
    </xf>
    <xf numFmtId="0" fontId="0" fillId="0" borderId="2" xfId="0" applyBorder="1" applyAlignment="1">
      <alignment horizontal="center" vertical="center"/>
    </xf>
    <xf numFmtId="0" fontId="40" fillId="0" borderId="2" xfId="0" applyFont="1" applyBorder="1" applyAlignment="1">
      <alignment horizontal="center" vertical="center" wrapText="1"/>
    </xf>
    <xf numFmtId="0" fontId="17" fillId="2" borderId="0" xfId="0" applyFont="1" applyFill="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40" fillId="0" borderId="2" xfId="0" applyFont="1" applyBorder="1" applyAlignment="1">
      <alignment horizontal="center" vertical="center"/>
    </xf>
    <xf numFmtId="1" fontId="11" fillId="7" borderId="2" xfId="1" applyNumberFormat="1" applyFont="1" applyFill="1" applyBorder="1" applyAlignment="1">
      <alignment horizontal="center" vertical="center"/>
    </xf>
    <xf numFmtId="0" fontId="2" fillId="4" borderId="2" xfId="0" applyFont="1" applyFill="1" applyBorder="1" applyAlignment="1">
      <alignment vertical="center" wrapText="1"/>
    </xf>
    <xf numFmtId="0" fontId="60" fillId="4" borderId="2" xfId="0" applyFont="1" applyFill="1" applyBorder="1" applyAlignment="1">
      <alignment horizontal="center" vertical="center"/>
    </xf>
    <xf numFmtId="1" fontId="60" fillId="4" borderId="2" xfId="1" applyNumberFormat="1" applyFont="1" applyFill="1" applyBorder="1" applyAlignment="1">
      <alignment horizontal="center" vertical="center"/>
    </xf>
    <xf numFmtId="41" fontId="60" fillId="4" borderId="12" xfId="0" applyNumberFormat="1" applyFont="1" applyFill="1" applyBorder="1" applyAlignment="1">
      <alignment vertical="center"/>
    </xf>
    <xf numFmtId="0" fontId="8" fillId="7" borderId="37" xfId="0" applyFont="1" applyFill="1" applyBorder="1" applyAlignment="1">
      <alignment vertical="center" wrapText="1"/>
    </xf>
    <xf numFmtId="0" fontId="41" fillId="7" borderId="2" xfId="2" applyNumberFormat="1" applyFont="1" applyFill="1" applyBorder="1" applyAlignment="1">
      <alignment horizontal="center" vertical="center" wrapText="1"/>
    </xf>
    <xf numFmtId="166" fontId="41" fillId="7" borderId="12" xfId="2" applyNumberFormat="1" applyFont="1" applyFill="1" applyBorder="1" applyAlignment="1">
      <alignment horizontal="center" vertical="center" wrapText="1"/>
    </xf>
    <xf numFmtId="0" fontId="38" fillId="7" borderId="2" xfId="1" applyNumberFormat="1" applyFont="1" applyFill="1" applyBorder="1" applyAlignment="1">
      <alignment horizontal="center" vertical="center"/>
    </xf>
    <xf numFmtId="0" fontId="61" fillId="7" borderId="2" xfId="0" applyFont="1" applyFill="1" applyBorder="1" applyAlignment="1">
      <alignment horizontal="center" vertical="center" wrapText="1" readingOrder="1"/>
    </xf>
    <xf numFmtId="0" fontId="40" fillId="4" borderId="2" xfId="0" applyFont="1" applyFill="1" applyBorder="1" applyAlignment="1">
      <alignment horizontal="center" vertical="center"/>
    </xf>
    <xf numFmtId="0" fontId="0" fillId="2" borderId="2" xfId="0" applyFill="1" applyBorder="1" applyAlignment="1">
      <alignment horizontal="left" vertical="center" wrapText="1"/>
    </xf>
    <xf numFmtId="0" fontId="55" fillId="2" borderId="2" xfId="0" applyFont="1" applyFill="1" applyBorder="1" applyAlignment="1">
      <alignment horizontal="left" vertical="center" wrapText="1"/>
    </xf>
    <xf numFmtId="0" fontId="0" fillId="0" borderId="2" xfId="0" applyBorder="1" applyAlignment="1">
      <alignment horizontal="left" vertical="center" wrapText="1"/>
    </xf>
    <xf numFmtId="14" fontId="0" fillId="0" borderId="2" xfId="0" applyNumberFormat="1" applyBorder="1" applyAlignment="1">
      <alignment horizontal="center" vertical="center"/>
    </xf>
    <xf numFmtId="9" fontId="0" fillId="0" borderId="2" xfId="0" applyNumberFormat="1" applyBorder="1" applyAlignment="1">
      <alignment horizontal="center" vertical="center" wrapText="1"/>
    </xf>
    <xf numFmtId="167" fontId="0" fillId="0" borderId="2" xfId="0" applyNumberFormat="1" applyBorder="1" applyAlignment="1">
      <alignment horizontal="center" vertical="center" wrapText="1"/>
    </xf>
    <xf numFmtId="0" fontId="44" fillId="0" borderId="0" xfId="0" applyFont="1" applyAlignment="1">
      <alignment vertical="center"/>
    </xf>
    <xf numFmtId="0" fontId="44" fillId="0" borderId="0" xfId="0" applyFont="1" applyAlignment="1">
      <alignment horizontal="right" vertical="center"/>
    </xf>
    <xf numFmtId="0" fontId="0" fillId="2" borderId="0" xfId="0" applyFill="1" applyAlignment="1">
      <alignment horizontal="center" vertical="center"/>
    </xf>
    <xf numFmtId="0" fontId="0" fillId="0" borderId="2" xfId="0" applyBorder="1" applyAlignment="1">
      <alignment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3" xfId="0" applyFont="1" applyFill="1" applyBorder="1" applyAlignment="1">
      <alignment horizontal="justify" vertical="center" wrapText="1"/>
    </xf>
    <xf numFmtId="0" fontId="6" fillId="2" borderId="4" xfId="0" applyFont="1" applyFill="1" applyBorder="1" applyAlignment="1">
      <alignment horizontal="justify" vertical="center" wrapText="1"/>
    </xf>
    <xf numFmtId="0" fontId="6" fillId="2" borderId="5" xfId="0" applyFont="1" applyFill="1" applyBorder="1" applyAlignment="1">
      <alignment horizontal="justify" vertical="center" wrapText="1"/>
    </xf>
    <xf numFmtId="0" fontId="7" fillId="4" borderId="37"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38" xfId="0" applyFont="1" applyFill="1" applyBorder="1" applyAlignment="1">
      <alignment horizontal="center" vertical="center"/>
    </xf>
    <xf numFmtId="0" fontId="7" fillId="4" borderId="31" xfId="0" applyFont="1" applyFill="1" applyBorder="1" applyAlignment="1">
      <alignment horizontal="center" vertical="center"/>
    </xf>
    <xf numFmtId="0" fontId="7" fillId="4" borderId="32"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2" xfId="0" applyFont="1" applyFill="1" applyBorder="1" applyAlignment="1">
      <alignment horizontal="center" vertical="center"/>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4" xfId="0" applyFont="1" applyFill="1" applyBorder="1" applyAlignment="1">
      <alignment horizontal="center" vertical="center"/>
    </xf>
    <xf numFmtId="0" fontId="20"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2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20" fillId="2" borderId="3" xfId="0" applyFont="1" applyFill="1" applyBorder="1" applyAlignment="1">
      <alignment horizontal="justify" vertical="center" wrapText="1"/>
    </xf>
    <xf numFmtId="0" fontId="35" fillId="2" borderId="30"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5" fillId="2" borderId="34" xfId="0" applyFont="1" applyFill="1" applyBorder="1" applyAlignment="1">
      <alignment horizontal="center" vertical="center" wrapText="1"/>
    </xf>
    <xf numFmtId="0" fontId="7" fillId="4" borderId="39" xfId="0" applyFont="1" applyFill="1" applyBorder="1" applyAlignment="1">
      <alignment horizontal="center" vertical="center" wrapText="1"/>
    </xf>
    <xf numFmtId="0" fontId="7" fillId="4" borderId="26" xfId="0" applyFont="1" applyFill="1" applyBorder="1" applyAlignment="1">
      <alignment horizontal="center" vertical="center" wrapText="1"/>
    </xf>
    <xf numFmtId="0" fontId="7" fillId="4" borderId="27" xfId="0" applyFont="1" applyFill="1" applyBorder="1" applyAlignment="1">
      <alignment horizontal="center" vertical="center" wrapText="1"/>
    </xf>
    <xf numFmtId="0" fontId="36" fillId="2" borderId="3" xfId="0" applyFont="1" applyFill="1" applyBorder="1" applyAlignment="1">
      <alignment horizontal="center" vertical="center" wrapText="1"/>
    </xf>
    <xf numFmtId="0" fontId="36" fillId="2" borderId="4"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2" borderId="36" xfId="0" applyFont="1" applyFill="1" applyBorder="1" applyAlignment="1">
      <alignment horizontal="center" vertical="center" wrapText="1"/>
    </xf>
    <xf numFmtId="0" fontId="34" fillId="2" borderId="9"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2" borderId="7" xfId="0" applyFont="1" applyFill="1" applyBorder="1" applyAlignment="1">
      <alignment horizontal="center" vertical="center" wrapText="1"/>
    </xf>
    <xf numFmtId="0" fontId="36" fillId="2" borderId="8" xfId="0" applyFont="1" applyFill="1" applyBorder="1" applyAlignment="1">
      <alignment horizontal="center" vertical="center" wrapText="1"/>
    </xf>
    <xf numFmtId="0" fontId="36" fillId="2" borderId="9"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1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3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7" fillId="4" borderId="31"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7" fillId="4" borderId="29"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33" fillId="0" borderId="22" xfId="0" applyFont="1" applyBorder="1" applyAlignment="1">
      <alignment horizontal="center" vertical="center" wrapText="1"/>
    </xf>
    <xf numFmtId="0" fontId="33" fillId="0" borderId="33" xfId="0" applyFont="1" applyBorder="1" applyAlignment="1">
      <alignment horizontal="center" vertical="center" wrapText="1"/>
    </xf>
    <xf numFmtId="0" fontId="7" fillId="4" borderId="30" xfId="0" applyFont="1" applyFill="1" applyBorder="1" applyAlignment="1">
      <alignment horizontal="center" vertical="center" wrapText="1"/>
    </xf>
    <xf numFmtId="0" fontId="7" fillId="4" borderId="35" xfId="0" applyFont="1" applyFill="1" applyBorder="1" applyAlignment="1">
      <alignment horizontal="center" vertical="center" wrapText="1"/>
    </xf>
    <xf numFmtId="0" fontId="7" fillId="4" borderId="7" xfId="0" applyFont="1" applyFill="1" applyBorder="1" applyAlignment="1">
      <alignment horizontal="center" vertical="center" wrapText="1"/>
    </xf>
    <xf numFmtId="14" fontId="2" fillId="2" borderId="0" xfId="0" applyNumberFormat="1"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center" vertical="center" wrapText="1"/>
    </xf>
    <xf numFmtId="0" fontId="3" fillId="2" borderId="15" xfId="0" applyFont="1" applyFill="1" applyBorder="1" applyAlignment="1">
      <alignment horizontal="center" vertical="center" wrapText="1"/>
    </xf>
    <xf numFmtId="0" fontId="4" fillId="2" borderId="14" xfId="0" applyFont="1" applyFill="1" applyBorder="1" applyAlignment="1">
      <alignment horizontal="right" vertical="center" wrapText="1"/>
    </xf>
    <xf numFmtId="0" fontId="4" fillId="2" borderId="0" xfId="0" applyFont="1" applyFill="1" applyAlignment="1">
      <alignment horizontal="right" vertical="center" wrapText="1"/>
    </xf>
    <xf numFmtId="0" fontId="31" fillId="2" borderId="1" xfId="0" applyFont="1" applyFill="1" applyBorder="1" applyAlignment="1">
      <alignment horizontal="left" vertical="center" wrapText="1"/>
    </xf>
    <xf numFmtId="0" fontId="32" fillId="2" borderId="1"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5" fillId="2" borderId="0" xfId="0" applyFont="1" applyFill="1" applyAlignment="1">
      <alignment horizontal="center" vertical="center" wrapText="1"/>
    </xf>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2" fillId="0" borderId="2" xfId="0" applyFont="1" applyBorder="1" applyAlignment="1">
      <alignment horizontal="center" vertical="center"/>
    </xf>
    <xf numFmtId="0" fontId="2" fillId="0" borderId="12" xfId="0" applyFont="1" applyBorder="1" applyAlignment="1">
      <alignment horizontal="center" vertical="center"/>
    </xf>
    <xf numFmtId="0" fontId="14" fillId="2" borderId="0" xfId="0" applyFont="1" applyFill="1" applyAlignment="1">
      <alignment horizontal="center" vertical="center"/>
    </xf>
    <xf numFmtId="14" fontId="2" fillId="0" borderId="2"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16" fillId="2" borderId="20"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3" fillId="0" borderId="3" xfId="0" applyFont="1" applyBorder="1" applyAlignment="1">
      <alignment horizontal="center"/>
    </xf>
    <xf numFmtId="0" fontId="23" fillId="0" borderId="4" xfId="0" applyFont="1" applyBorder="1" applyAlignment="1">
      <alignment horizontal="center"/>
    </xf>
    <xf numFmtId="0" fontId="23" fillId="0" borderId="5" xfId="0" applyFont="1" applyBorder="1" applyAlignment="1">
      <alignment horizontal="center"/>
    </xf>
    <xf numFmtId="14" fontId="23" fillId="0" borderId="2" xfId="0" applyNumberFormat="1" applyFont="1" applyBorder="1" applyAlignment="1">
      <alignment horizontal="center"/>
    </xf>
    <xf numFmtId="0" fontId="23" fillId="0" borderId="2" xfId="0" applyFont="1" applyBorder="1" applyAlignment="1">
      <alignment horizontal="center"/>
    </xf>
    <xf numFmtId="0" fontId="14" fillId="0" borderId="2" xfId="0" applyFont="1" applyBorder="1" applyAlignment="1">
      <alignment horizontal="center" vertic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2" xfId="0" applyFont="1" applyBorder="1" applyAlignment="1">
      <alignment horizontal="center"/>
    </xf>
    <xf numFmtId="0" fontId="25" fillId="0" borderId="3" xfId="0" applyFont="1" applyBorder="1" applyAlignment="1">
      <alignment horizontal="left"/>
    </xf>
    <xf numFmtId="0" fontId="25" fillId="0" borderId="5" xfId="0" applyFont="1" applyBorder="1" applyAlignment="1">
      <alignment horizontal="left"/>
    </xf>
    <xf numFmtId="0" fontId="25" fillId="0" borderId="2" xfId="0" applyFont="1" applyBorder="1" applyAlignment="1">
      <alignment horizontal="left"/>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4" borderId="48" xfId="0" applyFont="1" applyFill="1" applyBorder="1" applyAlignment="1">
      <alignment horizontal="center" vertical="center" wrapText="1"/>
    </xf>
    <xf numFmtId="0" fontId="7" fillId="4" borderId="49" xfId="0" applyFont="1" applyFill="1" applyBorder="1" applyAlignment="1">
      <alignment horizontal="center" vertical="center" wrapText="1"/>
    </xf>
    <xf numFmtId="0" fontId="7" fillId="4" borderId="50" xfId="0" applyFont="1" applyFill="1" applyBorder="1" applyAlignment="1">
      <alignment horizontal="center" vertical="center" wrapText="1"/>
    </xf>
    <xf numFmtId="0" fontId="45" fillId="0" borderId="22" xfId="0" applyFont="1" applyBorder="1" applyAlignment="1">
      <alignment horizontal="center" vertical="center" wrapText="1"/>
    </xf>
    <xf numFmtId="0" fontId="45" fillId="0" borderId="33" xfId="0" applyFont="1" applyBorder="1" applyAlignment="1">
      <alignment horizontal="center" vertical="center" wrapText="1"/>
    </xf>
    <xf numFmtId="0" fontId="45" fillId="0" borderId="49" xfId="0" applyFont="1" applyBorder="1" applyAlignment="1">
      <alignment horizontal="center" vertical="center" wrapText="1"/>
    </xf>
    <xf numFmtId="0" fontId="45" fillId="0" borderId="50" xfId="0" applyFont="1" applyBorder="1" applyAlignment="1">
      <alignment horizontal="center" vertical="center" wrapText="1"/>
    </xf>
    <xf numFmtId="0" fontId="7" fillId="4" borderId="4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15" fillId="0" borderId="46"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42"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0" xfId="0" applyFont="1" applyAlignment="1">
      <alignment horizontal="center" vertical="center" wrapText="1"/>
    </xf>
    <xf numFmtId="0" fontId="15" fillId="0" borderId="1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6" xfId="0" applyFont="1" applyBorder="1" applyAlignment="1">
      <alignment horizontal="center" vertical="center" wrapText="1"/>
    </xf>
    <xf numFmtId="0" fontId="31" fillId="2" borderId="1" xfId="0" applyFont="1" applyFill="1" applyBorder="1" applyAlignment="1">
      <alignment horizontal="center" vertical="center" wrapText="1"/>
    </xf>
    <xf numFmtId="0" fontId="7" fillId="4" borderId="34" xfId="0" applyFont="1" applyFill="1" applyBorder="1" applyAlignment="1">
      <alignment horizontal="center"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33" fillId="0" borderId="49" xfId="0" applyFont="1" applyBorder="1" applyAlignment="1">
      <alignment horizontal="center" vertical="center" wrapText="1"/>
    </xf>
    <xf numFmtId="0" fontId="33" fillId="0" borderId="50" xfId="0" applyFont="1" applyBorder="1" applyAlignment="1">
      <alignment horizontal="center" vertical="center" wrapText="1"/>
    </xf>
    <xf numFmtId="9" fontId="30" fillId="6" borderId="2" xfId="2" applyFont="1" applyFill="1" applyBorder="1" applyAlignment="1">
      <alignment horizontal="center" vertical="center"/>
    </xf>
    <xf numFmtId="164" fontId="30" fillId="6" borderId="2" xfId="2" applyNumberFormat="1" applyFont="1" applyFill="1" applyBorder="1" applyAlignment="1">
      <alignment horizontal="center" vertical="center"/>
    </xf>
    <xf numFmtId="166" fontId="30" fillId="6" borderId="2" xfId="2" applyNumberFormat="1" applyFont="1" applyFill="1" applyBorder="1" applyAlignment="1">
      <alignment horizontal="center" vertical="center"/>
    </xf>
    <xf numFmtId="0" fontId="27" fillId="2" borderId="2" xfId="0" applyFont="1" applyFill="1" applyBorder="1" applyAlignment="1">
      <alignment horizontal="center" vertical="center" wrapText="1"/>
    </xf>
    <xf numFmtId="0" fontId="0" fillId="2" borderId="2" xfId="0" applyFill="1" applyBorder="1" applyAlignment="1">
      <alignment horizontal="center"/>
    </xf>
    <xf numFmtId="0" fontId="30" fillId="6" borderId="2" xfId="0" applyFont="1" applyFill="1" applyBorder="1" applyAlignment="1">
      <alignment horizontal="left" vertical="center" wrapText="1"/>
    </xf>
    <xf numFmtId="0" fontId="21" fillId="6" borderId="44" xfId="0" applyFont="1" applyFill="1" applyBorder="1" applyAlignment="1">
      <alignment horizontal="center" vertical="center" wrapText="1"/>
    </xf>
    <xf numFmtId="0" fontId="21" fillId="6" borderId="43" xfId="0" applyFont="1" applyFill="1" applyBorder="1" applyAlignment="1">
      <alignment horizontal="center" vertical="center" wrapText="1"/>
    </xf>
    <xf numFmtId="0" fontId="21" fillId="6" borderId="11" xfId="0" applyFont="1" applyFill="1" applyBorder="1" applyAlignment="1">
      <alignment horizontal="center" vertical="center" wrapText="1"/>
    </xf>
    <xf numFmtId="0" fontId="0" fillId="6" borderId="44" xfId="0" applyFill="1" applyBorder="1" applyAlignment="1">
      <alignment horizontal="center" vertical="center"/>
    </xf>
    <xf numFmtId="0" fontId="0" fillId="6" borderId="43" xfId="0" applyFill="1" applyBorder="1" applyAlignment="1">
      <alignment horizontal="center" vertical="center"/>
    </xf>
    <xf numFmtId="0" fontId="0" fillId="6" borderId="11" xfId="0" applyFill="1" applyBorder="1" applyAlignment="1">
      <alignment horizontal="center" vertical="center"/>
    </xf>
    <xf numFmtId="9" fontId="30" fillId="6" borderId="44" xfId="2" applyFont="1" applyFill="1" applyBorder="1" applyAlignment="1">
      <alignment horizontal="center" vertical="center"/>
    </xf>
    <xf numFmtId="9" fontId="30" fillId="6" borderId="43" xfId="2" applyFont="1" applyFill="1" applyBorder="1" applyAlignment="1">
      <alignment horizontal="center" vertical="center"/>
    </xf>
    <xf numFmtId="9" fontId="30" fillId="6" borderId="11" xfId="2" applyFont="1" applyFill="1" applyBorder="1" applyAlignment="1">
      <alignment horizontal="center" vertical="center"/>
    </xf>
    <xf numFmtId="0" fontId="30" fillId="6" borderId="44" xfId="0" applyFont="1" applyFill="1" applyBorder="1" applyAlignment="1">
      <alignment horizontal="left" vertical="center" wrapText="1"/>
    </xf>
    <xf numFmtId="0" fontId="30" fillId="6" borderId="43" xfId="0" applyFont="1" applyFill="1" applyBorder="1" applyAlignment="1">
      <alignment horizontal="left" vertical="center" wrapText="1"/>
    </xf>
    <xf numFmtId="0" fontId="30" fillId="6" borderId="11" xfId="0" applyFont="1" applyFill="1" applyBorder="1" applyAlignment="1">
      <alignment horizontal="left" vertical="center" wrapText="1"/>
    </xf>
    <xf numFmtId="0" fontId="30" fillId="6" borderId="2" xfId="0" applyFont="1" applyFill="1" applyBorder="1" applyAlignment="1">
      <alignment horizontal="center" vertical="center" wrapText="1"/>
    </xf>
    <xf numFmtId="9" fontId="21" fillId="6" borderId="44" xfId="2" applyFont="1" applyFill="1" applyBorder="1" applyAlignment="1">
      <alignment horizontal="center" vertical="center" wrapText="1"/>
    </xf>
    <xf numFmtId="9" fontId="21" fillId="6" borderId="11" xfId="2" applyFont="1" applyFill="1" applyBorder="1" applyAlignment="1">
      <alignment horizontal="center" vertical="center" wrapText="1"/>
    </xf>
    <xf numFmtId="0" fontId="21" fillId="6" borderId="44" xfId="2" applyNumberFormat="1" applyFont="1" applyFill="1" applyBorder="1" applyAlignment="1">
      <alignment horizontal="center" vertical="center" wrapText="1"/>
    </xf>
    <xf numFmtId="0" fontId="21" fillId="6" borderId="11" xfId="2" applyNumberFormat="1" applyFont="1" applyFill="1" applyBorder="1" applyAlignment="1">
      <alignment horizontal="center" vertical="center" wrapText="1"/>
    </xf>
    <xf numFmtId="164" fontId="21" fillId="6" borderId="44" xfId="0" applyNumberFormat="1" applyFont="1" applyFill="1" applyBorder="1" applyAlignment="1">
      <alignment horizontal="center" vertical="center" wrapText="1"/>
    </xf>
    <xf numFmtId="164" fontId="21" fillId="6" borderId="43" xfId="0" applyNumberFormat="1" applyFont="1" applyFill="1" applyBorder="1" applyAlignment="1">
      <alignment horizontal="center" vertical="center" wrapText="1"/>
    </xf>
    <xf numFmtId="164" fontId="21" fillId="6" borderId="11" xfId="0" applyNumberFormat="1" applyFont="1" applyFill="1" applyBorder="1" applyAlignment="1">
      <alignment horizontal="center" vertical="center" wrapText="1"/>
    </xf>
    <xf numFmtId="0" fontId="21" fillId="6" borderId="43" xfId="2" applyNumberFormat="1" applyFont="1" applyFill="1" applyBorder="1" applyAlignment="1">
      <alignment horizontal="center" vertical="center" wrapText="1"/>
    </xf>
    <xf numFmtId="9" fontId="21" fillId="6" borderId="43" xfId="2" applyFont="1" applyFill="1" applyBorder="1" applyAlignment="1">
      <alignment horizontal="center" vertical="center" wrapText="1"/>
    </xf>
    <xf numFmtId="0" fontId="43" fillId="0" borderId="3" xfId="0" applyFont="1" applyBorder="1" applyAlignment="1">
      <alignment horizontal="left" vertical="center" wrapText="1"/>
    </xf>
    <xf numFmtId="0" fontId="58" fillId="0" borderId="4" xfId="0" applyFont="1" applyBorder="1" applyAlignment="1">
      <alignment horizontal="left" vertical="center" wrapText="1"/>
    </xf>
    <xf numFmtId="0" fontId="58" fillId="0" borderId="5" xfId="0" applyFont="1" applyBorder="1" applyAlignment="1">
      <alignment horizontal="left" vertical="center" wrapText="1"/>
    </xf>
    <xf numFmtId="0" fontId="43" fillId="0" borderId="4" xfId="0" applyFont="1" applyBorder="1" applyAlignment="1">
      <alignment horizontal="left" vertical="center" wrapText="1"/>
    </xf>
    <xf numFmtId="0" fontId="43" fillId="0" borderId="5" xfId="0" applyFont="1" applyBorder="1" applyAlignment="1">
      <alignment horizontal="left" vertical="center" wrapText="1"/>
    </xf>
    <xf numFmtId="0" fontId="33" fillId="9" borderId="49" xfId="0" applyFont="1" applyFill="1" applyBorder="1" applyAlignment="1">
      <alignment horizontal="center" vertical="center" wrapText="1"/>
    </xf>
    <xf numFmtId="0" fontId="33" fillId="9" borderId="50" xfId="0" applyFont="1" applyFill="1" applyBorder="1" applyAlignment="1">
      <alignment horizontal="center" vertical="center" wrapText="1"/>
    </xf>
    <xf numFmtId="0" fontId="46" fillId="0" borderId="0" xfId="0" applyFont="1" applyAlignment="1">
      <alignment horizontal="center"/>
    </xf>
    <xf numFmtId="0" fontId="46" fillId="0" borderId="1" xfId="0" applyFont="1" applyBorder="1" applyAlignment="1">
      <alignment horizontal="center"/>
    </xf>
    <xf numFmtId="0" fontId="25" fillId="2" borderId="0" xfId="0" applyFont="1" applyFill="1" applyAlignment="1">
      <alignment horizontal="left" vertical="center" wrapText="1"/>
    </xf>
    <xf numFmtId="0" fontId="0" fillId="0" borderId="0" xfId="0" applyAlignment="1">
      <alignment horizontal="left"/>
    </xf>
    <xf numFmtId="0" fontId="17" fillId="2" borderId="0" xfId="0" applyFont="1" applyFill="1" applyAlignment="1">
      <alignment horizontal="center" vertical="center" wrapText="1"/>
    </xf>
    <xf numFmtId="0" fontId="25" fillId="2" borderId="0" xfId="0" applyFont="1" applyFill="1" applyAlignment="1">
      <alignment vertical="center" wrapText="1"/>
    </xf>
    <xf numFmtId="0" fontId="0" fillId="0" borderId="0" xfId="0" applyBorder="1"/>
  </cellXfs>
  <cellStyles count="10">
    <cellStyle name="Millares [0]" xfId="1" builtinId="6"/>
    <cellStyle name="Millares [0] 2" xfId="6" xr:uid="{00000000-0005-0000-0000-000001000000}"/>
    <cellStyle name="Millares 2" xfId="5" xr:uid="{00000000-0005-0000-0000-000002000000}"/>
    <cellStyle name="Millares 2 2" xfId="9" xr:uid="{00000000-0005-0000-0000-000003000000}"/>
    <cellStyle name="Moneda" xfId="3" builtinId="4"/>
    <cellStyle name="Moneda 2" xfId="4" xr:uid="{00000000-0005-0000-0000-000005000000}"/>
    <cellStyle name="Moneda 2 2" xfId="8" xr:uid="{00000000-0005-0000-0000-000006000000}"/>
    <cellStyle name="Moneda 3" xfId="7" xr:uid="{00000000-0005-0000-0000-000007000000}"/>
    <cellStyle name="Normal" xfId="0" builtinId="0"/>
    <cellStyle name="Porcentaje" xfId="2" builtinId="5"/>
  </cellStyles>
  <dxfs count="108">
    <dxf>
      <font>
        <color rgb="FF9C6500"/>
      </font>
      <fill>
        <patternFill>
          <bgColor rgb="FFFFEB9C"/>
        </patternFill>
      </fill>
    </dxf>
    <dxf>
      <fill>
        <patternFill>
          <bgColor rgb="FFFFFF0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alignment horizontal="general"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border outline="0">
        <top style="thin">
          <color indexed="64"/>
        </top>
        <bottom style="medium">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scheme val="minor"/>
      </font>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FFCC00"/>
      <color rgb="FF009900"/>
      <color rgb="FF008000"/>
      <color rgb="FF99CC00"/>
      <color rgb="FFFFFFFF"/>
      <color rgb="FFCCFFCC"/>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COMPORTAMIENTO</a:t>
            </a:r>
            <a:r>
              <a:rPr lang="es-CO" baseline="0"/>
              <a:t> MENSUAL</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Plantilla!$B$27</c:f>
              <c:strCache>
                <c:ptCount val="1"/>
                <c:pt idx="0">
                  <c:v>Meta</c:v>
                </c:pt>
              </c:strCache>
            </c:strRef>
          </c:tx>
          <c:spPr>
            <a:solidFill>
              <a:schemeClr val="bg2"/>
            </a:solidFill>
            <a:ln>
              <a:noFill/>
            </a:ln>
            <a:effectLst/>
          </c:spPr>
          <c:invertIfNegative val="0"/>
          <c:trendline>
            <c:spPr>
              <a:ln w="19050" cap="flat" cmpd="sng">
                <a:solidFill>
                  <a:schemeClr val="accent4"/>
                </a:solidFill>
                <a:prstDash val="solid"/>
                <a:round/>
              </a:ln>
              <a:effectLst/>
            </c:spPr>
            <c:trendlineType val="linear"/>
            <c:dispRSqr val="0"/>
            <c:dispEq val="0"/>
          </c:trendline>
          <c:cat>
            <c:strRef>
              <c:f>Plantilla!$C$23:$O$23</c:f>
              <c:strCache>
                <c:ptCount val="13"/>
                <c:pt idx="0">
                  <c:v>Ene</c:v>
                </c:pt>
                <c:pt idx="1">
                  <c:v>Feb</c:v>
                </c:pt>
                <c:pt idx="2">
                  <c:v>Mar</c:v>
                </c:pt>
                <c:pt idx="3">
                  <c:v>Abr</c:v>
                </c:pt>
                <c:pt idx="4">
                  <c:v>May</c:v>
                </c:pt>
                <c:pt idx="5">
                  <c:v>Jun</c:v>
                </c:pt>
                <c:pt idx="6">
                  <c:v>Jul</c:v>
                </c:pt>
                <c:pt idx="7">
                  <c:v>Ago</c:v>
                </c:pt>
                <c:pt idx="8">
                  <c:v>Sept</c:v>
                </c:pt>
                <c:pt idx="9">
                  <c:v>Oct</c:v>
                </c:pt>
                <c:pt idx="10">
                  <c:v>Nov</c:v>
                </c:pt>
                <c:pt idx="11">
                  <c:v>Dic</c:v>
                </c:pt>
                <c:pt idx="12">
                  <c:v>Acum Año</c:v>
                </c:pt>
              </c:strCache>
            </c:strRef>
          </c:cat>
          <c:val>
            <c:numRef>
              <c:f>Plantilla!$C$27:$O$27</c:f>
              <c:numCache>
                <c:formatCode>0.0%</c:formatCode>
                <c:ptCount val="13"/>
                <c:pt idx="0">
                  <c:v>0.02</c:v>
                </c:pt>
                <c:pt idx="1">
                  <c:v>0.02</c:v>
                </c:pt>
                <c:pt idx="2">
                  <c:v>0.02</c:v>
                </c:pt>
                <c:pt idx="3">
                  <c:v>0.02</c:v>
                </c:pt>
                <c:pt idx="4">
                  <c:v>0.02</c:v>
                </c:pt>
                <c:pt idx="5">
                  <c:v>0.02</c:v>
                </c:pt>
                <c:pt idx="6">
                  <c:v>0.02</c:v>
                </c:pt>
                <c:pt idx="7">
                  <c:v>0.02</c:v>
                </c:pt>
                <c:pt idx="8">
                  <c:v>0.02</c:v>
                </c:pt>
                <c:pt idx="9">
                  <c:v>0.02</c:v>
                </c:pt>
                <c:pt idx="10">
                  <c:v>0.02</c:v>
                </c:pt>
                <c:pt idx="11">
                  <c:v>0.02</c:v>
                </c:pt>
                <c:pt idx="12">
                  <c:v>0.02</c:v>
                </c:pt>
              </c:numCache>
            </c:numRef>
          </c:val>
          <c:extLst>
            <c:ext xmlns:c16="http://schemas.microsoft.com/office/drawing/2014/chart" uri="{C3380CC4-5D6E-409C-BE32-E72D297353CC}">
              <c16:uniqueId val="{00000000-4BCD-4823-B83D-36A42CDEE8F4}"/>
            </c:ext>
          </c:extLst>
        </c:ser>
        <c:dLbls>
          <c:showLegendKey val="0"/>
          <c:showVal val="0"/>
          <c:showCatName val="0"/>
          <c:showSerName val="0"/>
          <c:showPercent val="0"/>
          <c:showBubbleSize val="0"/>
        </c:dLbls>
        <c:gapWidth val="100"/>
        <c:overlap val="-27"/>
        <c:axId val="601030984"/>
        <c:axId val="601024712"/>
      </c:barChart>
      <c:barChart>
        <c:barDir val="col"/>
        <c:grouping val="clustered"/>
        <c:varyColors val="0"/>
        <c:ser>
          <c:idx val="1"/>
          <c:order val="1"/>
          <c:tx>
            <c:strRef>
              <c:f>Plantilla!$B$26</c:f>
              <c:strCache>
                <c:ptCount val="1"/>
                <c:pt idx="0">
                  <c:v>Cumplimiento</c:v>
                </c:pt>
              </c:strCache>
            </c:strRef>
          </c:tx>
          <c:spPr>
            <a:solidFill>
              <a:srgbClr val="009900"/>
            </a:solidFill>
            <a:ln>
              <a:noFill/>
            </a:ln>
            <a:effectLst/>
          </c:spPr>
          <c:invertIfNegative val="0"/>
          <c:cat>
            <c:strRef>
              <c:f>Plantilla!$C$23:$O$23</c:f>
              <c:strCache>
                <c:ptCount val="13"/>
                <c:pt idx="0">
                  <c:v>Ene</c:v>
                </c:pt>
                <c:pt idx="1">
                  <c:v>Feb</c:v>
                </c:pt>
                <c:pt idx="2">
                  <c:v>Mar</c:v>
                </c:pt>
                <c:pt idx="3">
                  <c:v>Abr</c:v>
                </c:pt>
                <c:pt idx="4">
                  <c:v>May</c:v>
                </c:pt>
                <c:pt idx="5">
                  <c:v>Jun</c:v>
                </c:pt>
                <c:pt idx="6">
                  <c:v>Jul</c:v>
                </c:pt>
                <c:pt idx="7">
                  <c:v>Ago</c:v>
                </c:pt>
                <c:pt idx="8">
                  <c:v>Sept</c:v>
                </c:pt>
                <c:pt idx="9">
                  <c:v>Oct</c:v>
                </c:pt>
                <c:pt idx="10">
                  <c:v>Nov</c:v>
                </c:pt>
                <c:pt idx="11">
                  <c:v>Dic</c:v>
                </c:pt>
                <c:pt idx="12">
                  <c:v>Acum Año</c:v>
                </c:pt>
              </c:strCache>
            </c:strRef>
          </c:cat>
          <c:val>
            <c:numRef>
              <c:f>Plantilla!$C$26:$O$26</c:f>
              <c:numCache>
                <c:formatCode>0.0%</c:formatCode>
                <c:ptCount val="13"/>
                <c:pt idx="0">
                  <c:v>1.4285714285714285E-2</c:v>
                </c:pt>
                <c:pt idx="1">
                  <c:v>1.6317778344174912E-2</c:v>
                </c:pt>
                <c:pt idx="2">
                  <c:v>1.9055707423233099E-2</c:v>
                </c:pt>
                <c:pt idx="3">
                  <c:v>7.4655130714927831E-3</c:v>
                </c:pt>
                <c:pt idx="4">
                  <c:v>7.5133904289546704E-3</c:v>
                </c:pt>
                <c:pt idx="5">
                  <c:v>1.4787531298762564E-3</c:v>
                </c:pt>
                <c:pt idx="6">
                  <c:v>8.5515096800080244E-3</c:v>
                </c:pt>
                <c:pt idx="7">
                  <c:v>6.9615103961351036E-3</c:v>
                </c:pt>
                <c:pt idx="8">
                  <c:v>1.1831217495427765E-2</c:v>
                </c:pt>
                <c:pt idx="9">
                  <c:v>9.1452490772284435E-3</c:v>
                </c:pt>
                <c:pt idx="10">
                  <c:v>0</c:v>
                </c:pt>
                <c:pt idx="11">
                  <c:v>0</c:v>
                </c:pt>
                <c:pt idx="12">
                  <c:v>9.4559520976640974E-3</c:v>
                </c:pt>
              </c:numCache>
            </c:numRef>
          </c:val>
          <c:extLst>
            <c:ext xmlns:c16="http://schemas.microsoft.com/office/drawing/2014/chart" uri="{C3380CC4-5D6E-409C-BE32-E72D297353CC}">
              <c16:uniqueId val="{00000001-4BCD-4823-B83D-36A42CDEE8F4}"/>
            </c:ext>
          </c:extLst>
        </c:ser>
        <c:dLbls>
          <c:showLegendKey val="0"/>
          <c:showVal val="0"/>
          <c:showCatName val="0"/>
          <c:showSerName val="0"/>
          <c:showPercent val="0"/>
          <c:showBubbleSize val="0"/>
        </c:dLbls>
        <c:gapWidth val="200"/>
        <c:overlap val="-27"/>
        <c:axId val="601030592"/>
        <c:axId val="601027456"/>
      </c:barChart>
      <c:catAx>
        <c:axId val="60103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01024712"/>
        <c:crosses val="autoZero"/>
        <c:auto val="1"/>
        <c:lblAlgn val="ctr"/>
        <c:lblOffset val="100"/>
        <c:noMultiLvlLbl val="0"/>
      </c:catAx>
      <c:valAx>
        <c:axId val="6010247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s-CO"/>
          </a:p>
        </c:txPr>
        <c:crossAx val="601030984"/>
        <c:crosses val="autoZero"/>
        <c:crossBetween val="between"/>
      </c:valAx>
      <c:valAx>
        <c:axId val="601027456"/>
        <c:scaling>
          <c:orientation val="minMax"/>
        </c:scaling>
        <c:delete val="1"/>
        <c:axPos val="r"/>
        <c:numFmt formatCode="0.0%" sourceLinked="1"/>
        <c:majorTickMark val="out"/>
        <c:minorTickMark val="none"/>
        <c:tickLblPos val="nextTo"/>
        <c:crossAx val="601030592"/>
        <c:crosses val="max"/>
        <c:crossBetween val="between"/>
      </c:valAx>
      <c:catAx>
        <c:axId val="601030592"/>
        <c:scaling>
          <c:orientation val="minMax"/>
        </c:scaling>
        <c:delete val="1"/>
        <c:axPos val="b"/>
        <c:numFmt formatCode="General" sourceLinked="1"/>
        <c:majorTickMark val="out"/>
        <c:minorTickMark val="none"/>
        <c:tickLblPos val="nextTo"/>
        <c:crossAx val="60102745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MX" sz="1800" b="1"/>
              <a:t>ACTIVOS A NIVEL NACIONAL</a:t>
            </a:r>
          </a:p>
        </c:rich>
      </c:tx>
      <c:layout>
        <c:manualLayout>
          <c:xMode val="edge"/>
          <c:yMode val="edge"/>
          <c:x val="0.37773441553219927"/>
          <c:y val="2.12014157871417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v>2026</c:v>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Activos'!$C$16:$N$16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'0. Activos'!$C$17:$N$17</c:f>
              <c:numCache>
                <c:formatCode>General</c:formatCode>
                <c:ptCount val="12"/>
                <c:pt idx="0">
                  <c:v>70</c:v>
                </c:pt>
                <c:pt idx="1">
                  <c:v>73</c:v>
                </c:pt>
                <c:pt idx="2">
                  <c:v>71</c:v>
                </c:pt>
                <c:pt idx="3">
                  <c:v>81</c:v>
                </c:pt>
                <c:pt idx="4">
                  <c:v>75</c:v>
                </c:pt>
                <c:pt idx="5">
                  <c:v>80</c:v>
                </c:pt>
                <c:pt idx="6">
                  <c:v>99</c:v>
                </c:pt>
                <c:pt idx="7">
                  <c:v>99</c:v>
                </c:pt>
              </c:numCache>
            </c:numRef>
          </c:val>
          <c:extLst>
            <c:ext xmlns:c16="http://schemas.microsoft.com/office/drawing/2014/chart" uri="{C3380CC4-5D6E-409C-BE32-E72D297353CC}">
              <c16:uniqueId val="{00000000-5532-4085-AE75-FFA876A7B35B}"/>
            </c:ext>
          </c:extLst>
        </c:ser>
        <c:ser>
          <c:idx val="1"/>
          <c:order val="1"/>
          <c:tx>
            <c:v>2025</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Activos'!$C$16:$N$16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'0. Activos'!$C$18:$N$18</c:f>
              <c:numCache>
                <c:formatCode>General</c:formatCode>
                <c:ptCount val="12"/>
                <c:pt idx="0">
                  <c:v>162</c:v>
                </c:pt>
                <c:pt idx="1">
                  <c:v>116</c:v>
                </c:pt>
                <c:pt idx="2">
                  <c:v>103</c:v>
                </c:pt>
                <c:pt idx="3">
                  <c:v>120</c:v>
                </c:pt>
                <c:pt idx="4">
                  <c:v>180</c:v>
                </c:pt>
                <c:pt idx="5">
                  <c:v>175</c:v>
                </c:pt>
                <c:pt idx="6">
                  <c:v>191</c:v>
                </c:pt>
                <c:pt idx="7">
                  <c:v>194</c:v>
                </c:pt>
                <c:pt idx="8">
                  <c:v>237</c:v>
                </c:pt>
                <c:pt idx="9">
                  <c:v>215</c:v>
                </c:pt>
                <c:pt idx="10">
                  <c:v>242</c:v>
                </c:pt>
                <c:pt idx="11">
                  <c:v>287</c:v>
                </c:pt>
              </c:numCache>
            </c:numRef>
          </c:val>
          <c:extLst>
            <c:ext xmlns:c16="http://schemas.microsoft.com/office/drawing/2014/chart" uri="{C3380CC4-5D6E-409C-BE32-E72D297353CC}">
              <c16:uniqueId val="{00000001-5532-4085-AE75-FFA876A7B35B}"/>
            </c:ext>
          </c:extLst>
        </c:ser>
        <c:dLbls>
          <c:dLblPos val="outEnd"/>
          <c:showLegendKey val="0"/>
          <c:showVal val="1"/>
          <c:showCatName val="0"/>
          <c:showSerName val="0"/>
          <c:showPercent val="0"/>
          <c:showBubbleSize val="0"/>
        </c:dLbls>
        <c:gapWidth val="219"/>
        <c:overlap val="-27"/>
        <c:axId val="601031376"/>
        <c:axId val="601025104"/>
      </c:barChart>
      <c:catAx>
        <c:axId val="60103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1025104"/>
        <c:crosses val="autoZero"/>
        <c:auto val="1"/>
        <c:lblAlgn val="ctr"/>
        <c:lblOffset val="100"/>
        <c:noMultiLvlLbl val="0"/>
      </c:catAx>
      <c:valAx>
        <c:axId val="60102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1031376"/>
        <c:crosses val="autoZero"/>
        <c:crossBetween val="between"/>
      </c:valAx>
      <c:spPr>
        <a:noFill/>
        <a:ln>
          <a:noFill/>
        </a:ln>
        <a:effectLst/>
      </c:spPr>
    </c:plotArea>
    <c:legend>
      <c:legendPos val="b"/>
      <c:layout>
        <c:manualLayout>
          <c:xMode val="edge"/>
          <c:yMode val="edge"/>
          <c:x val="0.35346164450685952"/>
          <c:y val="0.91572387142526601"/>
          <c:w val="0.193307552388298"/>
          <c:h val="7.15552791024489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800" b="1"/>
              <a:t>ACTIVOS</a:t>
            </a:r>
            <a:r>
              <a:rPr lang="es-CO" sz="1800" b="1" baseline="0"/>
              <a:t> SANTANDER</a:t>
            </a:r>
            <a:endParaRPr lang="es-CO"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9170432680197285E-2"/>
          <c:y val="0.10945451063246302"/>
          <c:w val="0.9457265935799497"/>
          <c:h val="0.7488348846465015"/>
        </c:manualLayout>
      </c:layout>
      <c:barChart>
        <c:barDir val="col"/>
        <c:grouping val="clustered"/>
        <c:varyColors val="0"/>
        <c:ser>
          <c:idx val="0"/>
          <c:order val="0"/>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'0. Activos'!$C$84:$O$84</c15:sqref>
                  </c15:fullRef>
                </c:ext>
              </c:extLst>
              <c:f>'0. Activos'!$C$84:$N$84</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xmlns:c15="http://schemas.microsoft.com/office/drawing/2012/chart" uri="{02D57815-91ED-43cb-92C2-25804820EDAC}">
                  <c15:fullRef>
                    <c15:sqref>'0. Activos'!$C$85:$O$85</c15:sqref>
                  </c15:fullRef>
                </c:ext>
              </c:extLst>
              <c:f>'0. Activos'!$C$85:$N$85</c:f>
              <c:numCache>
                <c:formatCode>General</c:formatCode>
                <c:ptCount val="12"/>
                <c:pt idx="0">
                  <c:v>57</c:v>
                </c:pt>
                <c:pt idx="1">
                  <c:v>51</c:v>
                </c:pt>
                <c:pt idx="2">
                  <c:v>48</c:v>
                </c:pt>
                <c:pt idx="3">
                  <c:v>50</c:v>
                </c:pt>
                <c:pt idx="4">
                  <c:v>47</c:v>
                </c:pt>
                <c:pt idx="5">
                  <c:v>51</c:v>
                </c:pt>
              </c:numCache>
            </c:numRef>
          </c:val>
          <c:extLst>
            <c:ext xmlns:c16="http://schemas.microsoft.com/office/drawing/2014/chart" uri="{C3380CC4-5D6E-409C-BE32-E72D297353CC}">
              <c16:uniqueId val="{00000000-717F-4826-B094-1E8117D98904}"/>
            </c:ext>
          </c:extLst>
        </c:ser>
        <c:ser>
          <c:idx val="1"/>
          <c:order val="1"/>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'0. Activos'!$C$84:$O$84</c15:sqref>
                  </c15:fullRef>
                </c:ext>
              </c:extLst>
              <c:f>'0. Activos'!$C$84:$N$84</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xmlns:c15="http://schemas.microsoft.com/office/drawing/2012/chart" uri="{02D57815-91ED-43cb-92C2-25804820EDAC}">
                  <c15:fullRef>
                    <c15:sqref>'0. Activos'!$C$86:$O$86</c15:sqref>
                  </c15:fullRef>
                </c:ext>
              </c:extLst>
              <c:f>'0. Activos'!$C$86:$N$86</c:f>
              <c:numCache>
                <c:formatCode>General</c:formatCode>
                <c:ptCount val="12"/>
                <c:pt idx="0">
                  <c:v>68</c:v>
                </c:pt>
                <c:pt idx="1">
                  <c:v>64</c:v>
                </c:pt>
                <c:pt idx="2">
                  <c:v>111</c:v>
                </c:pt>
                <c:pt idx="3">
                  <c:v>113</c:v>
                </c:pt>
                <c:pt idx="4">
                  <c:v>102</c:v>
                </c:pt>
                <c:pt idx="5">
                  <c:v>94</c:v>
                </c:pt>
                <c:pt idx="6">
                  <c:v>92</c:v>
                </c:pt>
                <c:pt idx="7">
                  <c:v>94</c:v>
                </c:pt>
                <c:pt idx="8">
                  <c:v>99</c:v>
                </c:pt>
                <c:pt idx="9">
                  <c:v>76</c:v>
                </c:pt>
                <c:pt idx="10">
                  <c:v>59</c:v>
                </c:pt>
                <c:pt idx="11">
                  <c:v>37</c:v>
                </c:pt>
              </c:numCache>
            </c:numRef>
          </c:val>
          <c:extLst>
            <c:ext xmlns:c16="http://schemas.microsoft.com/office/drawing/2014/chart" uri="{C3380CC4-5D6E-409C-BE32-E72D297353CC}">
              <c16:uniqueId val="{00000001-717F-4826-B094-1E8117D98904}"/>
            </c:ext>
          </c:extLst>
        </c:ser>
        <c:dLbls>
          <c:dLblPos val="outEnd"/>
          <c:showLegendKey val="0"/>
          <c:showVal val="1"/>
          <c:showCatName val="0"/>
          <c:showSerName val="0"/>
          <c:showPercent val="0"/>
          <c:showBubbleSize val="0"/>
        </c:dLbls>
        <c:gapWidth val="219"/>
        <c:overlap val="-27"/>
        <c:axId val="601027848"/>
        <c:axId val="601028632"/>
      </c:barChart>
      <c:catAx>
        <c:axId val="60102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1028632"/>
        <c:crosses val="autoZero"/>
        <c:auto val="1"/>
        <c:lblAlgn val="ctr"/>
        <c:lblOffset val="100"/>
        <c:noMultiLvlLbl val="0"/>
      </c:catAx>
      <c:valAx>
        <c:axId val="601028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1027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MX" sz="1800" b="1"/>
              <a:t>ACTIVOS SEDE CAUCA</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'0. Activos'!$B$51</c:f>
              <c:strCache>
                <c:ptCount val="1"/>
                <c:pt idx="0">
                  <c:v>2025</c:v>
                </c:pt>
              </c:strCache>
            </c:strRef>
          </c:tx>
          <c:spPr>
            <a:solidFill>
              <a:srgbClr val="FFC000"/>
            </a:solidFill>
            <a:ln>
              <a:noFill/>
            </a:ln>
            <a:effectLst/>
          </c:spPr>
          <c:invertIfNegative val="0"/>
          <c:dPt>
            <c:idx val="2"/>
            <c:invertIfNegative val="0"/>
            <c:bubble3D val="0"/>
            <c:spPr>
              <a:solidFill>
                <a:srgbClr val="FFC000"/>
              </a:solidFill>
              <a:ln>
                <a:solidFill>
                  <a:srgbClr val="FFC000"/>
                </a:solidFill>
              </a:ln>
              <a:effectLst/>
            </c:spPr>
            <c:extLst>
              <c:ext xmlns:c16="http://schemas.microsoft.com/office/drawing/2014/chart" uri="{C3380CC4-5D6E-409C-BE32-E72D297353CC}">
                <c16:uniqueId val="{00000000-588E-459B-A482-96F917B5FB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Activos'!$C$50:$N$50</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'0. Activos'!$C$51:$N$51</c:f>
              <c:numCache>
                <c:formatCode>General</c:formatCode>
                <c:ptCount val="12"/>
                <c:pt idx="0">
                  <c:v>47</c:v>
                </c:pt>
                <c:pt idx="1">
                  <c:v>38</c:v>
                </c:pt>
                <c:pt idx="2">
                  <c:v>144</c:v>
                </c:pt>
                <c:pt idx="3">
                  <c:v>32</c:v>
                </c:pt>
                <c:pt idx="4">
                  <c:v>83</c:v>
                </c:pt>
                <c:pt idx="5">
                  <c:v>86</c:v>
                </c:pt>
                <c:pt idx="6">
                  <c:v>52</c:v>
                </c:pt>
                <c:pt idx="7">
                  <c:v>33</c:v>
                </c:pt>
                <c:pt idx="8" formatCode="0">
                  <c:v>41</c:v>
                </c:pt>
                <c:pt idx="9" formatCode="0">
                  <c:v>90</c:v>
                </c:pt>
                <c:pt idx="10" formatCode="0">
                  <c:v>101</c:v>
                </c:pt>
                <c:pt idx="11" formatCode="0">
                  <c:v>54</c:v>
                </c:pt>
              </c:numCache>
            </c:numRef>
          </c:val>
          <c:extLst>
            <c:ext xmlns:c16="http://schemas.microsoft.com/office/drawing/2014/chart" uri="{C3380CC4-5D6E-409C-BE32-E72D297353CC}">
              <c16:uniqueId val="{00000000-1633-4092-805D-40AA6BD3F47A}"/>
            </c:ext>
          </c:extLst>
        </c:ser>
        <c:ser>
          <c:idx val="1"/>
          <c:order val="1"/>
          <c:tx>
            <c:strRef>
              <c:f>'0. Activos'!$B$52</c:f>
              <c:strCache>
                <c:ptCount val="1"/>
                <c:pt idx="0">
                  <c:v>2026</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Activos'!$C$50:$N$50</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'0. Activos'!$C$52:$N$52</c:f>
              <c:numCache>
                <c:formatCode>General</c:formatCode>
                <c:ptCount val="12"/>
                <c:pt idx="0">
                  <c:v>7</c:v>
                </c:pt>
                <c:pt idx="1">
                  <c:v>15</c:v>
                </c:pt>
                <c:pt idx="2">
                  <c:v>15</c:v>
                </c:pt>
                <c:pt idx="3">
                  <c:v>24</c:v>
                </c:pt>
                <c:pt idx="4">
                  <c:v>22</c:v>
                </c:pt>
                <c:pt idx="5">
                  <c:v>20</c:v>
                </c:pt>
              </c:numCache>
            </c:numRef>
          </c:val>
          <c:extLst>
            <c:ext xmlns:c16="http://schemas.microsoft.com/office/drawing/2014/chart" uri="{C3380CC4-5D6E-409C-BE32-E72D297353CC}">
              <c16:uniqueId val="{00000001-1633-4092-805D-40AA6BD3F47A}"/>
            </c:ext>
          </c:extLst>
        </c:ser>
        <c:dLbls>
          <c:showLegendKey val="0"/>
          <c:showVal val="0"/>
          <c:showCatName val="0"/>
          <c:showSerName val="0"/>
          <c:showPercent val="0"/>
          <c:showBubbleSize val="0"/>
        </c:dLbls>
        <c:gapWidth val="219"/>
        <c:overlap val="-27"/>
        <c:axId val="601026280"/>
        <c:axId val="601027064"/>
      </c:barChart>
      <c:catAx>
        <c:axId val="60102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1027064"/>
        <c:crosses val="autoZero"/>
        <c:auto val="1"/>
        <c:lblAlgn val="ctr"/>
        <c:lblOffset val="100"/>
        <c:noMultiLvlLbl val="0"/>
      </c:catAx>
      <c:valAx>
        <c:axId val="601027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1026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s-MX" sz="1600" b="1" i="1" baseline="0"/>
              <a:t>NUMERO AT POR MES</a:t>
            </a:r>
            <a:endParaRPr lang="es-MX" sz="1600" b="1" i="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'14. # AT x Mes'!$B$17</c:f>
              <c:strCache>
                <c:ptCount val="1"/>
                <c:pt idx="0">
                  <c:v># AT por Mes 2026</c:v>
                </c:pt>
              </c:strCache>
            </c:strRef>
          </c:tx>
          <c:spPr>
            <a:solidFill>
              <a:srgbClr val="0099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 # AT x Mes'!$C$16:$N$16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'14. # AT x Mes'!$C$17:$N$17</c:f>
              <c:numCache>
                <c:formatCode>General</c:formatCode>
                <c:ptCount val="12"/>
                <c:pt idx="0">
                  <c:v>1</c:v>
                </c:pt>
                <c:pt idx="1">
                  <c:v>3</c:v>
                </c:pt>
                <c:pt idx="2">
                  <c:v>0</c:v>
                </c:pt>
                <c:pt idx="3">
                  <c:v>1</c:v>
                </c:pt>
                <c:pt idx="4">
                  <c:v>0</c:v>
                </c:pt>
                <c:pt idx="5">
                  <c:v>2</c:v>
                </c:pt>
                <c:pt idx="6">
                  <c:v>1</c:v>
                </c:pt>
                <c:pt idx="7">
                  <c:v>4</c:v>
                </c:pt>
              </c:numCache>
            </c:numRef>
          </c:val>
          <c:extLst xmlns:c15="http://schemas.microsoft.com/office/drawing/2012/chart">
            <c:ext xmlns:c16="http://schemas.microsoft.com/office/drawing/2014/chart" uri="{C3380CC4-5D6E-409C-BE32-E72D297353CC}">
              <c16:uniqueId val="{00000002-D098-4414-B200-7A6594B2D407}"/>
            </c:ext>
          </c:extLst>
        </c:ser>
        <c:ser>
          <c:idx val="1"/>
          <c:order val="1"/>
          <c:tx>
            <c:strRef>
              <c:f>'14. # AT x Mes'!$B$18</c:f>
              <c:strCache>
                <c:ptCount val="1"/>
                <c:pt idx="0">
                  <c:v># AT por Mes 2025</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 # AT x Mes'!$C$16:$N$16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'14. # AT x Mes'!$C$18:$N$18</c:f>
              <c:numCache>
                <c:formatCode>General</c:formatCode>
                <c:ptCount val="12"/>
                <c:pt idx="0">
                  <c:v>3</c:v>
                </c:pt>
                <c:pt idx="1">
                  <c:v>4</c:v>
                </c:pt>
                <c:pt idx="2">
                  <c:v>4</c:v>
                </c:pt>
                <c:pt idx="3">
                  <c:v>2</c:v>
                </c:pt>
                <c:pt idx="4">
                  <c:v>4</c:v>
                </c:pt>
                <c:pt idx="5">
                  <c:v>5</c:v>
                </c:pt>
                <c:pt idx="6">
                  <c:v>5</c:v>
                </c:pt>
                <c:pt idx="7">
                  <c:v>1</c:v>
                </c:pt>
                <c:pt idx="8">
                  <c:v>3</c:v>
                </c:pt>
                <c:pt idx="9">
                  <c:v>3</c:v>
                </c:pt>
                <c:pt idx="10">
                  <c:v>5</c:v>
                </c:pt>
                <c:pt idx="11">
                  <c:v>1</c:v>
                </c:pt>
              </c:numCache>
            </c:numRef>
          </c:val>
          <c:extLst>
            <c:ext xmlns:c16="http://schemas.microsoft.com/office/drawing/2014/chart" uri="{C3380CC4-5D6E-409C-BE32-E72D297353CC}">
              <c16:uniqueId val="{00000000-76A5-40F8-8DCD-634692EE1B41}"/>
            </c:ext>
          </c:extLst>
        </c:ser>
        <c:dLbls>
          <c:dLblPos val="outEnd"/>
          <c:showLegendKey val="0"/>
          <c:showVal val="1"/>
          <c:showCatName val="0"/>
          <c:showSerName val="0"/>
          <c:showPercent val="0"/>
          <c:showBubbleSize val="0"/>
        </c:dLbls>
        <c:gapWidth val="150"/>
        <c:axId val="410963048"/>
        <c:axId val="410964616"/>
      </c:barChart>
      <c:catAx>
        <c:axId val="41096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4616"/>
        <c:crosses val="autoZero"/>
        <c:auto val="1"/>
        <c:lblAlgn val="ctr"/>
        <c:lblOffset val="100"/>
        <c:noMultiLvlLbl val="0"/>
      </c:catAx>
      <c:valAx>
        <c:axId val="410964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3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i="0" baseline="0"/>
              <a:t>Tasa accidentabilidad a Nivel Nacional</a:t>
            </a:r>
            <a:endParaRPr lang="es-MX"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2"/>
          <c:order val="2"/>
          <c:tx>
            <c:strRef>
              <c:f>'1. Tas. Nacional'!$B$19</c:f>
              <c:strCache>
                <c:ptCount val="1"/>
                <c:pt idx="0">
                  <c:v>TASA 2026</c:v>
                </c:pt>
              </c:strCache>
            </c:strRef>
          </c:tx>
          <c:spPr>
            <a:solidFill>
              <a:srgbClr val="0099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Tas. Nacional'!$C$16:$N$16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'1. Tas. Nacional'!$C$19:$N$19</c:f>
              <c:numCache>
                <c:formatCode>0.00</c:formatCode>
                <c:ptCount val="12"/>
                <c:pt idx="0">
                  <c:v>1.4285714285714286</c:v>
                </c:pt>
                <c:pt idx="1">
                  <c:v>6.8493150684931505</c:v>
                </c:pt>
                <c:pt idx="2">
                  <c:v>0</c:v>
                </c:pt>
                <c:pt idx="3">
                  <c:v>1.2345679012345678</c:v>
                </c:pt>
                <c:pt idx="4">
                  <c:v>0</c:v>
                </c:pt>
                <c:pt idx="5">
                  <c:v>2.5</c:v>
                </c:pt>
                <c:pt idx="6">
                  <c:v>1.0101010101010102</c:v>
                </c:pt>
                <c:pt idx="7">
                  <c:v>4.0404040404040407</c:v>
                </c:pt>
                <c:pt idx="8">
                  <c:v>0</c:v>
                </c:pt>
                <c:pt idx="9">
                  <c:v>0</c:v>
                </c:pt>
                <c:pt idx="10">
                  <c:v>0</c:v>
                </c:pt>
                <c:pt idx="11">
                  <c:v>0</c:v>
                </c:pt>
              </c:numCache>
            </c:numRef>
          </c:val>
          <c:extLst>
            <c:ext xmlns:c16="http://schemas.microsoft.com/office/drawing/2014/chart" uri="{C3380CC4-5D6E-409C-BE32-E72D297353CC}">
              <c16:uniqueId val="{00000002-F9BB-46F8-A737-639F1B54B019}"/>
            </c:ext>
          </c:extLst>
        </c:ser>
        <c:ser>
          <c:idx val="3"/>
          <c:order val="3"/>
          <c:tx>
            <c:strRef>
              <c:f>'1. Tas. Nacional'!$B$20</c:f>
              <c:strCache>
                <c:ptCount val="1"/>
                <c:pt idx="0">
                  <c:v>TASA 2025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Tas. Nacional'!$C$16:$N$16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'1. Tas. Nacional'!$C$20:$N$20</c:f>
              <c:numCache>
                <c:formatCode>General</c:formatCode>
                <c:ptCount val="12"/>
                <c:pt idx="0">
                  <c:v>1.23</c:v>
                </c:pt>
                <c:pt idx="1">
                  <c:v>3.92</c:v>
                </c:pt>
                <c:pt idx="2">
                  <c:v>2.78</c:v>
                </c:pt>
                <c:pt idx="3">
                  <c:v>1.34</c:v>
                </c:pt>
                <c:pt idx="4">
                  <c:v>2.12</c:v>
                </c:pt>
                <c:pt idx="5">
                  <c:v>2.7</c:v>
                </c:pt>
                <c:pt idx="6">
                  <c:v>3.29</c:v>
                </c:pt>
                <c:pt idx="7">
                  <c:v>0.72</c:v>
                </c:pt>
                <c:pt idx="8">
                  <c:v>2.0299999999999998</c:v>
                </c:pt>
                <c:pt idx="9">
                  <c:v>1.73</c:v>
                </c:pt>
                <c:pt idx="10">
                  <c:v>2.99</c:v>
                </c:pt>
                <c:pt idx="11">
                  <c:v>1.03</c:v>
                </c:pt>
              </c:numCache>
            </c:numRef>
          </c:val>
          <c:extLst>
            <c:ext xmlns:c16="http://schemas.microsoft.com/office/drawing/2014/chart" uri="{C3380CC4-5D6E-409C-BE32-E72D297353CC}">
              <c16:uniqueId val="{00000003-F9BB-46F8-A737-639F1B54B019}"/>
            </c:ext>
          </c:extLst>
        </c:ser>
        <c:dLbls>
          <c:showLegendKey val="0"/>
          <c:showVal val="0"/>
          <c:showCatName val="0"/>
          <c:showSerName val="0"/>
          <c:showPercent val="0"/>
          <c:showBubbleSize val="0"/>
        </c:dLbls>
        <c:gapWidth val="150"/>
        <c:axId val="543717608"/>
        <c:axId val="543718000"/>
        <c:extLst>
          <c:ext xmlns:c15="http://schemas.microsoft.com/office/drawing/2012/chart" uri="{02D57815-91ED-43cb-92C2-25804820EDAC}">
            <c15:filteredBarSeries>
              <c15:ser>
                <c:idx val="0"/>
                <c:order val="0"/>
                <c:tx>
                  <c:strRef>
                    <c:extLst>
                      <c:ext uri="{02D57815-91ED-43cb-92C2-25804820EDAC}">
                        <c15:formulaRef>
                          <c15:sqref>'1. Tas. Nacional'!$B$17</c15:sqref>
                        </c15:formulaRef>
                      </c:ext>
                    </c:extLst>
                    <c:strCache>
                      <c:ptCount val="1"/>
                      <c:pt idx="0">
                        <c:v>#AT en el mes</c:v>
                      </c:pt>
                    </c:strCache>
                  </c:strRef>
                </c:tx>
                <c:spPr>
                  <a:solidFill>
                    <a:schemeClr val="accent1"/>
                  </a:solidFill>
                  <a:ln>
                    <a:noFill/>
                  </a:ln>
                  <a:effectLst/>
                </c:spPr>
                <c:invertIfNegative val="0"/>
                <c:cat>
                  <c:strRef>
                    <c:extLst>
                      <c:ext uri="{02D57815-91ED-43cb-92C2-25804820EDAC}">
                        <c15:formulaRef>
                          <c15:sqref>'1. Tas. Nacional'!$C$16:$N$16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uri="{02D57815-91ED-43cb-92C2-25804820EDAC}">
                        <c15:formulaRef>
                          <c15:sqref>'1. Tas. Nacional'!$C$17:$N$17</c15:sqref>
                        </c15:formulaRef>
                      </c:ext>
                    </c:extLst>
                    <c:numCache>
                      <c:formatCode>General</c:formatCode>
                      <c:ptCount val="12"/>
                      <c:pt idx="0">
                        <c:v>1</c:v>
                      </c:pt>
                      <c:pt idx="1">
                        <c:v>5</c:v>
                      </c:pt>
                      <c:pt idx="2">
                        <c:v>0</c:v>
                      </c:pt>
                      <c:pt idx="3">
                        <c:v>1</c:v>
                      </c:pt>
                      <c:pt idx="4">
                        <c:v>0</c:v>
                      </c:pt>
                      <c:pt idx="5">
                        <c:v>2</c:v>
                      </c:pt>
                      <c:pt idx="6">
                        <c:v>1</c:v>
                      </c:pt>
                      <c:pt idx="7">
                        <c:v>4</c:v>
                      </c:pt>
                    </c:numCache>
                  </c:numRef>
                </c:val>
                <c:extLst>
                  <c:ext xmlns:c16="http://schemas.microsoft.com/office/drawing/2014/chart" uri="{C3380CC4-5D6E-409C-BE32-E72D297353CC}">
                    <c16:uniqueId val="{00000000-F9BB-46F8-A737-639F1B54B01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Tas. Nacional'!$B$18</c15:sqref>
                        </c15:formulaRef>
                      </c:ext>
                    </c:extLst>
                    <c:strCache>
                      <c:ptCount val="1"/>
                      <c:pt idx="0">
                        <c:v># Trabaj Act. En el mes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'1. Tas. Nacional'!$C$16:$N$16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Tas. Nacional'!$C$18:$N$18</c15:sqref>
                        </c15:formulaRef>
                      </c:ext>
                    </c:extLst>
                    <c:numCache>
                      <c:formatCode>0</c:formatCode>
                      <c:ptCount val="12"/>
                      <c:pt idx="0">
                        <c:v>70</c:v>
                      </c:pt>
                      <c:pt idx="1">
                        <c:v>73</c:v>
                      </c:pt>
                      <c:pt idx="2">
                        <c:v>71</c:v>
                      </c:pt>
                      <c:pt idx="3">
                        <c:v>81</c:v>
                      </c:pt>
                      <c:pt idx="4">
                        <c:v>75</c:v>
                      </c:pt>
                      <c:pt idx="5">
                        <c:v>80</c:v>
                      </c:pt>
                      <c:pt idx="6">
                        <c:v>99</c:v>
                      </c:pt>
                      <c:pt idx="7">
                        <c:v>99</c:v>
                      </c:pt>
                    </c:numCache>
                  </c:numRef>
                </c:val>
                <c:extLst xmlns:c15="http://schemas.microsoft.com/office/drawing/2012/chart">
                  <c:ext xmlns:c16="http://schemas.microsoft.com/office/drawing/2014/chart" uri="{C3380CC4-5D6E-409C-BE32-E72D297353CC}">
                    <c16:uniqueId val="{00000001-F9BB-46F8-A737-639F1B54B019}"/>
                  </c:ext>
                </c:extLst>
              </c15:ser>
            </c15:filteredBarSeries>
          </c:ext>
        </c:extLst>
      </c:barChart>
      <c:catAx>
        <c:axId val="543717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18000"/>
        <c:crosses val="autoZero"/>
        <c:auto val="1"/>
        <c:lblAlgn val="ctr"/>
        <c:lblOffset val="100"/>
        <c:noMultiLvlLbl val="0"/>
      </c:catAx>
      <c:valAx>
        <c:axId val="543718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17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i="1"/>
              <a:t>Tasa Sede</a:t>
            </a:r>
            <a:r>
              <a:rPr lang="es-MX" b="1" i="1" baseline="0"/>
              <a:t> Cauca</a:t>
            </a:r>
            <a:endParaRPr lang="es-MX"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2"/>
          <c:order val="2"/>
          <c:tx>
            <c:strRef>
              <c:f>'2. Tas. Cauca'!$B$19</c:f>
              <c:strCache>
                <c:ptCount val="1"/>
                <c:pt idx="0">
                  <c:v>TASA 2026</c:v>
                </c:pt>
              </c:strCache>
            </c:strRef>
          </c:tx>
          <c:spPr>
            <a:solidFill>
              <a:srgbClr val="0099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Tas. Cauca'!$C$16:$N$16</c15:sqref>
                  </c15:fullRef>
                </c:ext>
              </c:extLst>
              <c:f>('2. Tas. Cauca'!$C$16:$I$16,'2. Tas. Cauca'!$L$16)</c:f>
              <c:strCache>
                <c:ptCount val="8"/>
                <c:pt idx="0">
                  <c:v>Ene</c:v>
                </c:pt>
                <c:pt idx="1">
                  <c:v>Feb</c:v>
                </c:pt>
                <c:pt idx="2">
                  <c:v>Mar</c:v>
                </c:pt>
                <c:pt idx="3">
                  <c:v>Abr</c:v>
                </c:pt>
                <c:pt idx="4">
                  <c:v>May</c:v>
                </c:pt>
                <c:pt idx="5">
                  <c:v>Jun</c:v>
                </c:pt>
                <c:pt idx="6">
                  <c:v>Jul</c:v>
                </c:pt>
                <c:pt idx="7">
                  <c:v>Oct</c:v>
                </c:pt>
              </c:strCache>
            </c:strRef>
          </c:cat>
          <c:val>
            <c:numRef>
              <c:extLst>
                <c:ext xmlns:c15="http://schemas.microsoft.com/office/drawing/2012/chart" uri="{02D57815-91ED-43cb-92C2-25804820EDAC}">
                  <c15:fullRef>
                    <c15:sqref>'2. Tas. Cauca'!$C$19:$N$19</c15:sqref>
                  </c15:fullRef>
                </c:ext>
              </c:extLst>
              <c:f>('2. Tas. Cauca'!$C$19:$I$19,'2. Tas. Cauca'!$L$19)</c:f>
              <c:numCache>
                <c:formatCode>0.0</c:formatCode>
                <c:ptCount val="8"/>
                <c:pt idx="0">
                  <c:v>0</c:v>
                </c:pt>
                <c:pt idx="1">
                  <c:v>0</c:v>
                </c:pt>
                <c:pt idx="2">
                  <c:v>0</c:v>
                </c:pt>
                <c:pt idx="3">
                  <c:v>0</c:v>
                </c:pt>
                <c:pt idx="4">
                  <c:v>0</c:v>
                </c:pt>
                <c:pt idx="5">
                  <c:v>5</c:v>
                </c:pt>
                <c:pt idx="6">
                  <c:v>0</c:v>
                </c:pt>
                <c:pt idx="7">
                  <c:v>0</c:v>
                </c:pt>
              </c:numCache>
            </c:numRef>
          </c:val>
          <c:extLst>
            <c:ext xmlns:c16="http://schemas.microsoft.com/office/drawing/2014/chart" uri="{C3380CC4-5D6E-409C-BE32-E72D297353CC}">
              <c16:uniqueId val="{00000002-F911-4396-B5F3-1E0658CEAD5C}"/>
            </c:ext>
          </c:extLst>
        </c:ser>
        <c:ser>
          <c:idx val="3"/>
          <c:order val="3"/>
          <c:tx>
            <c:strRef>
              <c:f>'2. Tas. Cauca'!$B$20</c:f>
              <c:strCache>
                <c:ptCount val="1"/>
                <c:pt idx="0">
                  <c:v>TASA 2025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Tas. Cauca'!$C$16:$N$16</c15:sqref>
                  </c15:fullRef>
                </c:ext>
              </c:extLst>
              <c:f>('2. Tas. Cauca'!$C$16:$I$16,'2. Tas. Cauca'!$L$16)</c:f>
              <c:strCache>
                <c:ptCount val="8"/>
                <c:pt idx="0">
                  <c:v>Ene</c:v>
                </c:pt>
                <c:pt idx="1">
                  <c:v>Feb</c:v>
                </c:pt>
                <c:pt idx="2">
                  <c:v>Mar</c:v>
                </c:pt>
                <c:pt idx="3">
                  <c:v>Abr</c:v>
                </c:pt>
                <c:pt idx="4">
                  <c:v>May</c:v>
                </c:pt>
                <c:pt idx="5">
                  <c:v>Jun</c:v>
                </c:pt>
                <c:pt idx="6">
                  <c:v>Jul</c:v>
                </c:pt>
                <c:pt idx="7">
                  <c:v>Oct</c:v>
                </c:pt>
              </c:strCache>
            </c:strRef>
          </c:cat>
          <c:val>
            <c:numRef>
              <c:extLst>
                <c:ext xmlns:c15="http://schemas.microsoft.com/office/drawing/2012/chart" uri="{02D57815-91ED-43cb-92C2-25804820EDAC}">
                  <c15:fullRef>
                    <c15:sqref>'2. Tas. Cauca'!$C$20:$N$20</c15:sqref>
                  </c15:fullRef>
                </c:ext>
              </c:extLst>
              <c:f>('2. Tas. Cauca'!$C$20:$I$20,'2. Tas. Cauca'!$L$20)</c:f>
              <c:numCache>
                <c:formatCode>General</c:formatCode>
                <c:ptCount val="8"/>
                <c:pt idx="0">
                  <c:v>2.2999999999999998</c:v>
                </c:pt>
                <c:pt idx="1">
                  <c:v>5.3</c:v>
                </c:pt>
                <c:pt idx="2">
                  <c:v>0</c:v>
                </c:pt>
                <c:pt idx="3">
                  <c:v>0</c:v>
                </c:pt>
                <c:pt idx="4">
                  <c:v>2.4</c:v>
                </c:pt>
                <c:pt idx="5">
                  <c:v>2.2999999999999998</c:v>
                </c:pt>
                <c:pt idx="6">
                  <c:v>3.8</c:v>
                </c:pt>
                <c:pt idx="7">
                  <c:v>2.2000000000000002</c:v>
                </c:pt>
              </c:numCache>
            </c:numRef>
          </c:val>
          <c:extLst>
            <c:ext xmlns:c16="http://schemas.microsoft.com/office/drawing/2014/chart" uri="{C3380CC4-5D6E-409C-BE32-E72D297353CC}">
              <c16:uniqueId val="{00000003-F911-4396-B5F3-1E0658CEAD5C}"/>
            </c:ext>
          </c:extLst>
        </c:ser>
        <c:dLbls>
          <c:showLegendKey val="0"/>
          <c:showVal val="0"/>
          <c:showCatName val="0"/>
          <c:showSerName val="0"/>
          <c:showPercent val="0"/>
          <c:showBubbleSize val="0"/>
        </c:dLbls>
        <c:gapWidth val="150"/>
        <c:axId val="543719960"/>
        <c:axId val="543721136"/>
        <c:extLst>
          <c:ext xmlns:c15="http://schemas.microsoft.com/office/drawing/2012/chart" uri="{02D57815-91ED-43cb-92C2-25804820EDAC}">
            <c15:filteredBarSeries>
              <c15:ser>
                <c:idx val="0"/>
                <c:order val="0"/>
                <c:tx>
                  <c:strRef>
                    <c:extLst>
                      <c:ext uri="{02D57815-91ED-43cb-92C2-25804820EDAC}">
                        <c15:formulaRef>
                          <c15:sqref>'2. Tas. Cauca'!$B$17</c15:sqref>
                        </c15:formulaRef>
                      </c:ext>
                    </c:extLst>
                    <c:strCache>
                      <c:ptCount val="1"/>
                      <c:pt idx="0">
                        <c:v>#AT en el mes</c:v>
                      </c:pt>
                    </c:strCache>
                  </c:strRef>
                </c:tx>
                <c:spPr>
                  <a:solidFill>
                    <a:schemeClr val="accent1"/>
                  </a:solidFill>
                  <a:ln>
                    <a:noFill/>
                  </a:ln>
                  <a:effectLst/>
                </c:spPr>
                <c:invertIfNegative val="0"/>
                <c:cat>
                  <c:strRef>
                    <c:extLst>
                      <c:ext uri="{02D57815-91ED-43cb-92C2-25804820EDAC}">
                        <c15:fullRef>
                          <c15:sqref>'2. Tas. Cauca'!$C$16:$N$16</c15:sqref>
                        </c15:fullRef>
                        <c15:formulaRef>
                          <c15:sqref>('2. Tas. Cauca'!$C$16:$I$16,'2. Tas. Cauca'!$L$16)</c15:sqref>
                        </c15:formulaRef>
                      </c:ext>
                    </c:extLst>
                    <c:strCache>
                      <c:ptCount val="8"/>
                      <c:pt idx="0">
                        <c:v>Ene</c:v>
                      </c:pt>
                      <c:pt idx="1">
                        <c:v>Feb</c:v>
                      </c:pt>
                      <c:pt idx="2">
                        <c:v>Mar</c:v>
                      </c:pt>
                      <c:pt idx="3">
                        <c:v>Abr</c:v>
                      </c:pt>
                      <c:pt idx="4">
                        <c:v>May</c:v>
                      </c:pt>
                      <c:pt idx="5">
                        <c:v>Jun</c:v>
                      </c:pt>
                      <c:pt idx="6">
                        <c:v>Jul</c:v>
                      </c:pt>
                      <c:pt idx="7">
                        <c:v>Oct</c:v>
                      </c:pt>
                    </c:strCache>
                  </c:strRef>
                </c:cat>
                <c:val>
                  <c:numRef>
                    <c:extLst>
                      <c:ext uri="{02D57815-91ED-43cb-92C2-25804820EDAC}">
                        <c15:fullRef>
                          <c15:sqref>'2. Tas. Cauca'!$C$17:$N$17</c15:sqref>
                        </c15:fullRef>
                        <c15:formulaRef>
                          <c15:sqref>('2. Tas. Cauca'!$C$17:$I$17,'2. Tas. Cauca'!$L$17)</c15:sqref>
                        </c15:formulaRef>
                      </c:ext>
                    </c:extLst>
                    <c:numCache>
                      <c:formatCode>General</c:formatCode>
                      <c:ptCount val="8"/>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0-F911-4396-B5F3-1E0658CEAD5C}"/>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'2. Tas. Cauca'!$B$18</c15:sqref>
                        </c15:formulaRef>
                      </c:ext>
                    </c:extLst>
                    <c:strCache>
                      <c:ptCount val="1"/>
                      <c:pt idx="0">
                        <c:v># Trabaj Act. En el mes</c:v>
                      </c:pt>
                    </c:strCache>
                  </c:strRef>
                </c:tx>
                <c:spPr>
                  <a:solidFill>
                    <a:schemeClr val="accent2"/>
                  </a:solidFill>
                  <a:ln>
                    <a:noFill/>
                  </a:ln>
                  <a:effectLst/>
                </c:spPr>
                <c:invertIfNegative val="0"/>
                <c:cat>
                  <c:strRef>
                    <c:extLst>
                      <c:ext xmlns:c15="http://schemas.microsoft.com/office/drawing/2012/chart" uri="{02D57815-91ED-43cb-92C2-25804820EDAC}">
                        <c15:fullRef>
                          <c15:sqref>'2. Tas. Cauca'!$C$16:$N$16</c15:sqref>
                        </c15:fullRef>
                        <c15:formulaRef>
                          <c15:sqref>('2. Tas. Cauca'!$C$16:$I$16,'2. Tas. Cauca'!$L$16)</c15:sqref>
                        </c15:formulaRef>
                      </c:ext>
                    </c:extLst>
                    <c:strCache>
                      <c:ptCount val="8"/>
                      <c:pt idx="0">
                        <c:v>Ene</c:v>
                      </c:pt>
                      <c:pt idx="1">
                        <c:v>Feb</c:v>
                      </c:pt>
                      <c:pt idx="2">
                        <c:v>Mar</c:v>
                      </c:pt>
                      <c:pt idx="3">
                        <c:v>Abr</c:v>
                      </c:pt>
                      <c:pt idx="4">
                        <c:v>May</c:v>
                      </c:pt>
                      <c:pt idx="5">
                        <c:v>Jun</c:v>
                      </c:pt>
                      <c:pt idx="6">
                        <c:v>Jul</c:v>
                      </c:pt>
                      <c:pt idx="7">
                        <c:v>Oct</c:v>
                      </c:pt>
                    </c:strCache>
                  </c:strRef>
                </c:cat>
                <c:val>
                  <c:numRef>
                    <c:extLst>
                      <c:ext xmlns:c15="http://schemas.microsoft.com/office/drawing/2012/chart" uri="{02D57815-91ED-43cb-92C2-25804820EDAC}">
                        <c15:fullRef>
                          <c15:sqref>'2. Tas. Cauca'!$C$18:$N$18</c15:sqref>
                        </c15:fullRef>
                        <c15:formulaRef>
                          <c15:sqref>('2. Tas. Cauca'!$C$18:$I$18,'2. Tas. Cauca'!$L$18)</c15:sqref>
                        </c15:formulaRef>
                      </c:ext>
                    </c:extLst>
                    <c:numCache>
                      <c:formatCode>0</c:formatCode>
                      <c:ptCount val="8"/>
                      <c:pt idx="0">
                        <c:v>7</c:v>
                      </c:pt>
                      <c:pt idx="1">
                        <c:v>15</c:v>
                      </c:pt>
                      <c:pt idx="2">
                        <c:v>15</c:v>
                      </c:pt>
                      <c:pt idx="3">
                        <c:v>24</c:v>
                      </c:pt>
                      <c:pt idx="4">
                        <c:v>22</c:v>
                      </c:pt>
                      <c:pt idx="5">
                        <c:v>20</c:v>
                      </c:pt>
                      <c:pt idx="6">
                        <c:v>11</c:v>
                      </c:pt>
                    </c:numCache>
                  </c:numRef>
                </c:val>
                <c:extLst xmlns:c15="http://schemas.microsoft.com/office/drawing/2012/chart">
                  <c:ext xmlns:c16="http://schemas.microsoft.com/office/drawing/2014/chart" uri="{C3380CC4-5D6E-409C-BE32-E72D297353CC}">
                    <c16:uniqueId val="{00000001-F911-4396-B5F3-1E0658CEAD5C}"/>
                  </c:ext>
                </c:extLst>
              </c15:ser>
            </c15:filteredBarSeries>
          </c:ext>
        </c:extLst>
      </c:barChart>
      <c:catAx>
        <c:axId val="54371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21136"/>
        <c:crosses val="autoZero"/>
        <c:auto val="1"/>
        <c:lblAlgn val="ctr"/>
        <c:lblOffset val="100"/>
        <c:noMultiLvlLbl val="0"/>
      </c:catAx>
      <c:valAx>
        <c:axId val="543721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19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s-MX" sz="1800" b="1" i="1" baseline="0"/>
              <a:t>Tasa Sede Santander</a:t>
            </a:r>
            <a:endParaRPr lang="es-MX" sz="1800" b="1" i="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2"/>
          <c:order val="2"/>
          <c:tx>
            <c:strRef>
              <c:f>'3. Tas. Santander'!$B$19</c:f>
              <c:strCache>
                <c:ptCount val="1"/>
                <c:pt idx="0">
                  <c:v>TASA 2026</c:v>
                </c:pt>
              </c:strCache>
            </c:strRef>
          </c:tx>
          <c:spPr>
            <a:solidFill>
              <a:srgbClr val="0099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Tas. Santander'!$C$16:$N$16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'3. Tas. Santander'!$C$19:$N$19</c:f>
              <c:numCache>
                <c:formatCode>0.0</c:formatCode>
                <c:ptCount val="12"/>
                <c:pt idx="0">
                  <c:v>1.7543859649122806</c:v>
                </c:pt>
                <c:pt idx="1">
                  <c:v>9.8039215686274517</c:v>
                </c:pt>
                <c:pt idx="2">
                  <c:v>0</c:v>
                </c:pt>
                <c:pt idx="3">
                  <c:v>2</c:v>
                </c:pt>
                <c:pt idx="4">
                  <c:v>0</c:v>
                </c:pt>
                <c:pt idx="5">
                  <c:v>1.9607843137254901</c:v>
                </c:pt>
                <c:pt idx="6">
                  <c:v>1.2345679012345678</c:v>
                </c:pt>
                <c:pt idx="7">
                  <c:v>4.8780487804878048</c:v>
                </c:pt>
                <c:pt idx="8">
                  <c:v>0</c:v>
                </c:pt>
                <c:pt idx="9">
                  <c:v>0</c:v>
                </c:pt>
                <c:pt idx="10">
                  <c:v>0</c:v>
                </c:pt>
                <c:pt idx="11">
                  <c:v>0</c:v>
                </c:pt>
              </c:numCache>
            </c:numRef>
          </c:val>
          <c:extLst>
            <c:ext xmlns:c16="http://schemas.microsoft.com/office/drawing/2014/chart" uri="{C3380CC4-5D6E-409C-BE32-E72D297353CC}">
              <c16:uniqueId val="{00000000-5DC2-49E7-947A-FD6C068CDF21}"/>
            </c:ext>
          </c:extLst>
        </c:ser>
        <c:ser>
          <c:idx val="3"/>
          <c:order val="3"/>
          <c:tx>
            <c:strRef>
              <c:f>'3. Tas. Santander'!$B$20</c:f>
              <c:strCache>
                <c:ptCount val="1"/>
                <c:pt idx="0">
                  <c:v>TASA 2025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Tas. Santander'!$C$16:$N$16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'3. Tas. Santander'!$C$20:$N$20</c:f>
              <c:numCache>
                <c:formatCode>General</c:formatCode>
                <c:ptCount val="12"/>
                <c:pt idx="0">
                  <c:v>5.9</c:v>
                </c:pt>
                <c:pt idx="1">
                  <c:v>3.1</c:v>
                </c:pt>
                <c:pt idx="2">
                  <c:v>3.6</c:v>
                </c:pt>
                <c:pt idx="3">
                  <c:v>1.8</c:v>
                </c:pt>
                <c:pt idx="4">
                  <c:v>2</c:v>
                </c:pt>
                <c:pt idx="5">
                  <c:v>3.2</c:v>
                </c:pt>
                <c:pt idx="6">
                  <c:v>3.3</c:v>
                </c:pt>
                <c:pt idx="7">
                  <c:v>1.1000000000000001</c:v>
                </c:pt>
                <c:pt idx="8">
                  <c:v>3</c:v>
                </c:pt>
                <c:pt idx="9">
                  <c:v>1.3</c:v>
                </c:pt>
                <c:pt idx="10">
                  <c:v>8.5</c:v>
                </c:pt>
                <c:pt idx="11">
                  <c:v>0</c:v>
                </c:pt>
              </c:numCache>
            </c:numRef>
          </c:val>
          <c:extLst>
            <c:ext xmlns:c16="http://schemas.microsoft.com/office/drawing/2014/chart" uri="{C3380CC4-5D6E-409C-BE32-E72D297353CC}">
              <c16:uniqueId val="{00000001-5DC2-49E7-947A-FD6C068CDF21}"/>
            </c:ext>
          </c:extLst>
        </c:ser>
        <c:dLbls>
          <c:showLegendKey val="0"/>
          <c:showVal val="0"/>
          <c:showCatName val="0"/>
          <c:showSerName val="0"/>
          <c:showPercent val="0"/>
          <c:showBubbleSize val="0"/>
        </c:dLbls>
        <c:gapWidth val="150"/>
        <c:axId val="543723096"/>
        <c:axId val="543723880"/>
        <c:extLst>
          <c:ext xmlns:c15="http://schemas.microsoft.com/office/drawing/2012/chart" uri="{02D57815-91ED-43cb-92C2-25804820EDAC}">
            <c15:filteredBarSeries>
              <c15:ser>
                <c:idx val="0"/>
                <c:order val="0"/>
                <c:tx>
                  <c:strRef>
                    <c:extLst>
                      <c:ext uri="{02D57815-91ED-43cb-92C2-25804820EDAC}">
                        <c15:formulaRef>
                          <c15:sqref>'3. Tas. Santander'!$B$17</c15:sqref>
                        </c15:formulaRef>
                      </c:ext>
                    </c:extLst>
                    <c:strCache>
                      <c:ptCount val="1"/>
                      <c:pt idx="0">
                        <c:v>#AT en el mes</c:v>
                      </c:pt>
                    </c:strCache>
                  </c:strRef>
                </c:tx>
                <c:spPr>
                  <a:solidFill>
                    <a:schemeClr val="accent1"/>
                  </a:solidFill>
                  <a:ln>
                    <a:noFill/>
                  </a:ln>
                  <a:effectLst/>
                </c:spPr>
                <c:invertIfNegative val="0"/>
                <c:cat>
                  <c:strRef>
                    <c:extLst>
                      <c:ext uri="{02D57815-91ED-43cb-92C2-25804820EDAC}">
                        <c15:formulaRef>
                          <c15:sqref>'3. Tas. Santander'!$C$16:$N$16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uri="{02D57815-91ED-43cb-92C2-25804820EDAC}">
                        <c15:formulaRef>
                          <c15:sqref>'3. Tas. Santander'!$C$17:$N$17</c15:sqref>
                        </c15:formulaRef>
                      </c:ext>
                    </c:extLst>
                    <c:numCache>
                      <c:formatCode>General</c:formatCode>
                      <c:ptCount val="12"/>
                      <c:pt idx="0">
                        <c:v>1</c:v>
                      </c:pt>
                      <c:pt idx="1">
                        <c:v>5</c:v>
                      </c:pt>
                      <c:pt idx="2">
                        <c:v>0</c:v>
                      </c:pt>
                      <c:pt idx="3">
                        <c:v>1</c:v>
                      </c:pt>
                      <c:pt idx="4">
                        <c:v>0</c:v>
                      </c:pt>
                      <c:pt idx="5">
                        <c:v>1</c:v>
                      </c:pt>
                      <c:pt idx="6">
                        <c:v>1</c:v>
                      </c:pt>
                      <c:pt idx="7">
                        <c:v>4</c:v>
                      </c:pt>
                    </c:numCache>
                  </c:numRef>
                </c:val>
                <c:extLst>
                  <c:ext xmlns:c16="http://schemas.microsoft.com/office/drawing/2014/chart" uri="{C3380CC4-5D6E-409C-BE32-E72D297353CC}">
                    <c16:uniqueId val="{00000002-5DC2-49E7-947A-FD6C068CDF2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'3. Tas. Santander'!$B$18</c15:sqref>
                        </c15:formulaRef>
                      </c:ext>
                    </c:extLst>
                    <c:strCache>
                      <c:ptCount val="1"/>
                      <c:pt idx="0">
                        <c:v># Trabaj Act. En el mes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'3. Tas. Santander'!$C$16:$N$16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'3. Tas. Santander'!$C$18:$N$18</c15:sqref>
                        </c15:formulaRef>
                      </c:ext>
                    </c:extLst>
                    <c:numCache>
                      <c:formatCode>0</c:formatCode>
                      <c:ptCount val="12"/>
                      <c:pt idx="0">
                        <c:v>57</c:v>
                      </c:pt>
                      <c:pt idx="1">
                        <c:v>51</c:v>
                      </c:pt>
                      <c:pt idx="2">
                        <c:v>48</c:v>
                      </c:pt>
                      <c:pt idx="3">
                        <c:v>50</c:v>
                      </c:pt>
                      <c:pt idx="4">
                        <c:v>47</c:v>
                      </c:pt>
                      <c:pt idx="5">
                        <c:v>51</c:v>
                      </c:pt>
                      <c:pt idx="6">
                        <c:v>81</c:v>
                      </c:pt>
                      <c:pt idx="7">
                        <c:v>82</c:v>
                      </c:pt>
                    </c:numCache>
                  </c:numRef>
                </c:val>
                <c:extLst xmlns:c15="http://schemas.microsoft.com/office/drawing/2012/chart">
                  <c:ext xmlns:c16="http://schemas.microsoft.com/office/drawing/2014/chart" uri="{C3380CC4-5D6E-409C-BE32-E72D297353CC}">
                    <c16:uniqueId val="{00000003-5DC2-49E7-947A-FD6C068CDF21}"/>
                  </c:ext>
                </c:extLst>
              </c15:ser>
            </c15:filteredBarSeries>
          </c:ext>
        </c:extLst>
      </c:barChart>
      <c:catAx>
        <c:axId val="54372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23880"/>
        <c:crosses val="autoZero"/>
        <c:auto val="1"/>
        <c:lblAlgn val="ctr"/>
        <c:lblOffset val="100"/>
        <c:noMultiLvlLbl val="0"/>
      </c:catAx>
      <c:valAx>
        <c:axId val="5437238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23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s-MX" sz="1600" b="1" i="1"/>
              <a:t>Severidad a Nivel</a:t>
            </a:r>
            <a:r>
              <a:rPr lang="es-MX" sz="1600" b="1" i="1" baseline="0"/>
              <a:t> Nacional</a:t>
            </a:r>
            <a:endParaRPr lang="es-MX" sz="1600" b="1" i="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1"/>
          <c:order val="1"/>
          <c:tx>
            <c:strRef>
              <c:f>'4. Sev. Nacional'!$B$19</c:f>
              <c:strCache>
                <c:ptCount val="1"/>
                <c:pt idx="0">
                  <c:v>SEVERIDAD 2026</c:v>
                </c:pt>
              </c:strCache>
            </c:strRef>
          </c:tx>
          <c:spPr>
            <a:solidFill>
              <a:srgbClr val="0080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'4. Sev. Nacional'!$C$16:$N$16</c15:sqref>
                  </c15:fullRef>
                </c:ext>
              </c:extLst>
              <c:f>'4. Sev. Nacional'!$C$16:$N$16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xmlns:c15="http://schemas.microsoft.com/office/drawing/2012/chart" uri="{02D57815-91ED-43cb-92C2-25804820EDAC}">
                  <c15:fullRef>
                    <c15:sqref>'4. Sev. Nacional'!$C$19:$O$19</c15:sqref>
                  </c15:fullRef>
                </c:ext>
              </c:extLst>
              <c:f>'4. Sev. Nacional'!$C$19:$N$19</c:f>
              <c:numCache>
                <c:formatCode>0.0</c:formatCode>
                <c:ptCount val="12"/>
                <c:pt idx="0">
                  <c:v>4.2857142857142856</c:v>
                </c:pt>
                <c:pt idx="1">
                  <c:v>80.392156862745097</c:v>
                </c:pt>
                <c:pt idx="2">
                  <c:v>0</c:v>
                </c:pt>
                <c:pt idx="3">
                  <c:v>24.691358024691358</c:v>
                </c:pt>
                <c:pt idx="4">
                  <c:v>0</c:v>
                </c:pt>
                <c:pt idx="5">
                  <c:v>52.5</c:v>
                </c:pt>
                <c:pt idx="6">
                  <c:v>37.373737373737377</c:v>
                </c:pt>
                <c:pt idx="7">
                  <c:v>29.292929292929294</c:v>
                </c:pt>
              </c:numCache>
            </c:numRef>
          </c:val>
          <c:extLst xmlns:c15="http://schemas.microsoft.com/office/drawing/2012/chart">
            <c:ext xmlns:c16="http://schemas.microsoft.com/office/drawing/2014/chart" uri="{C3380CC4-5D6E-409C-BE32-E72D297353CC}">
              <c16:uniqueId val="{00000003-2EED-4177-8A07-7C5D7E1DCAD8}"/>
            </c:ext>
          </c:extLst>
        </c:ser>
        <c:ser>
          <c:idx val="2"/>
          <c:order val="2"/>
          <c:tx>
            <c:strRef>
              <c:f>'4. Sev. Nacional'!$B$20</c:f>
              <c:strCache>
                <c:ptCount val="1"/>
                <c:pt idx="0">
                  <c:v>SEVERIDAD 2025</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'4. Sev. Nacional'!$C$16:$N$16</c15:sqref>
                  </c15:fullRef>
                </c:ext>
              </c:extLst>
              <c:f>'4. Sev. Nacional'!$C$16:$N$16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xmlns:c15="http://schemas.microsoft.com/office/drawing/2012/chart" uri="{02D57815-91ED-43cb-92C2-25804820EDAC}">
                  <c15:fullRef>
                    <c15:sqref>'4. Sev. Nacional'!$C$20:$O$20</c15:sqref>
                  </c15:fullRef>
                </c:ext>
              </c:extLst>
              <c:f>'4. Sev. Nacional'!$C$20:$N$20</c:f>
              <c:numCache>
                <c:formatCode>General</c:formatCode>
                <c:ptCount val="12"/>
                <c:pt idx="0">
                  <c:v>10.3</c:v>
                </c:pt>
                <c:pt idx="1">
                  <c:v>10.8</c:v>
                </c:pt>
                <c:pt idx="2">
                  <c:v>9</c:v>
                </c:pt>
                <c:pt idx="3">
                  <c:v>6</c:v>
                </c:pt>
                <c:pt idx="4">
                  <c:v>7.9</c:v>
                </c:pt>
                <c:pt idx="5">
                  <c:v>15.1</c:v>
                </c:pt>
                <c:pt idx="6">
                  <c:v>46.7</c:v>
                </c:pt>
                <c:pt idx="7">
                  <c:v>2.9</c:v>
                </c:pt>
                <c:pt idx="8">
                  <c:v>1.4</c:v>
                </c:pt>
                <c:pt idx="9">
                  <c:v>9.1999999999999993</c:v>
                </c:pt>
                <c:pt idx="10">
                  <c:v>6</c:v>
                </c:pt>
                <c:pt idx="11">
                  <c:v>34</c:v>
                </c:pt>
              </c:numCache>
            </c:numRef>
          </c:val>
          <c:extLst>
            <c:ext xmlns:c16="http://schemas.microsoft.com/office/drawing/2014/chart" uri="{C3380CC4-5D6E-409C-BE32-E72D297353CC}">
              <c16:uniqueId val="{00000000-2EED-4177-8A07-7C5D7E1DCAD8}"/>
            </c:ext>
          </c:extLst>
        </c:ser>
        <c:dLbls>
          <c:showLegendKey val="0"/>
          <c:showVal val="0"/>
          <c:showCatName val="0"/>
          <c:showSerName val="0"/>
          <c:showPercent val="0"/>
          <c:showBubbleSize val="0"/>
        </c:dLbls>
        <c:gapWidth val="150"/>
        <c:axId val="543721528"/>
        <c:axId val="543722704"/>
        <c:extLst>
          <c:ext xmlns:c15="http://schemas.microsoft.com/office/drawing/2012/chart" uri="{02D57815-91ED-43cb-92C2-25804820EDAC}">
            <c15:filteredBarSeries>
              <c15:ser>
                <c:idx val="0"/>
                <c:order val="0"/>
                <c:tx>
                  <c:strRef>
                    <c:extLst>
                      <c:ext uri="{02D57815-91ED-43cb-92C2-25804820EDAC}">
                        <c15:formulaRef>
                          <c15:sqref>'4. Sev. Nacional'!$B$18</c15:sqref>
                        </c15:formulaRef>
                      </c:ext>
                    </c:extLst>
                    <c:strCache>
                      <c:ptCount val="1"/>
                      <c:pt idx="0">
                        <c:v># Trabajadores en el mes</c:v>
                      </c:pt>
                    </c:strCache>
                  </c:strRef>
                </c:tx>
                <c:spPr>
                  <a:solidFill>
                    <a:schemeClr val="accent1"/>
                  </a:solidFill>
                  <a:ln>
                    <a:noFill/>
                  </a:ln>
                  <a:effectLst/>
                </c:spPr>
                <c:invertIfNegative val="0"/>
                <c:cat>
                  <c:strRef>
                    <c:extLst>
                      <c:ext uri="{02D57815-91ED-43cb-92C2-25804820EDAC}">
                        <c15:fullRef>
                          <c15:sqref>'4. Sev. Nacional'!$C$16:$N$16</c15:sqref>
                        </c15:fullRef>
                        <c15:formulaRef>
                          <c15:sqref>'4. Sev. Nacional'!$C$16:$N$16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uri="{02D57815-91ED-43cb-92C2-25804820EDAC}">
                        <c15:fullRef>
                          <c15:sqref>'4. Sev. Nacional'!$C$18:$G$18</c15:sqref>
                        </c15:fullRef>
                        <c15:formulaRef>
                          <c15:sqref>'4. Sev. Nacional'!$C$18:$G$18</c15:sqref>
                        </c15:formulaRef>
                      </c:ext>
                    </c:extLst>
                    <c:numCache>
                      <c:formatCode>0</c:formatCode>
                      <c:ptCount val="5"/>
                      <c:pt idx="0">
                        <c:v>70</c:v>
                      </c:pt>
                      <c:pt idx="1">
                        <c:v>51</c:v>
                      </c:pt>
                      <c:pt idx="2">
                        <c:v>71</c:v>
                      </c:pt>
                      <c:pt idx="3">
                        <c:v>81</c:v>
                      </c:pt>
                      <c:pt idx="4">
                        <c:v>75</c:v>
                      </c:pt>
                    </c:numCache>
                  </c:numRef>
                </c:val>
                <c:extLst>
                  <c:ext xmlns:c16="http://schemas.microsoft.com/office/drawing/2014/chart" uri="{C3380CC4-5D6E-409C-BE32-E72D297353CC}">
                    <c16:uniqueId val="{00000002-2EED-4177-8A07-7C5D7E1DCAD8}"/>
                  </c:ext>
                </c:extLst>
              </c15:ser>
            </c15:filteredBarSeries>
          </c:ext>
        </c:extLst>
      </c:barChart>
      <c:catAx>
        <c:axId val="54372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22704"/>
        <c:crosses val="autoZero"/>
        <c:auto val="1"/>
        <c:lblAlgn val="ctr"/>
        <c:lblOffset val="100"/>
        <c:noMultiLvlLbl val="0"/>
      </c:catAx>
      <c:valAx>
        <c:axId val="5437227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21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i="1"/>
              <a:t>Severidad Sede Cauca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6602378910860843E-2"/>
          <c:y val="1.9757259458092261E-2"/>
          <c:w val="0.94067572590416815"/>
          <c:h val="0.70085121484982305"/>
        </c:manualLayout>
      </c:layout>
      <c:barChart>
        <c:barDir val="col"/>
        <c:grouping val="clustered"/>
        <c:varyColors val="0"/>
        <c:ser>
          <c:idx val="2"/>
          <c:order val="2"/>
          <c:tx>
            <c:strRef>
              <c:f>'5. Sev. Cauca'!$B$19</c:f>
              <c:strCache>
                <c:ptCount val="1"/>
                <c:pt idx="0">
                  <c:v>SEVERIDAD 2026</c:v>
                </c:pt>
              </c:strCache>
            </c:strRef>
          </c:tx>
          <c:spPr>
            <a:solidFill>
              <a:srgbClr val="0080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Sev. Cauca'!$C$16:$N$16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'5. Sev. Cauca'!$C$19:$N$19</c:f>
              <c:numCache>
                <c:formatCode>0.0</c:formatCode>
                <c:ptCount val="12"/>
                <c:pt idx="0">
                  <c:v>0</c:v>
                </c:pt>
                <c:pt idx="1">
                  <c:v>0</c:v>
                </c:pt>
                <c:pt idx="2">
                  <c:v>0</c:v>
                </c:pt>
                <c:pt idx="3">
                  <c:v>0</c:v>
                </c:pt>
                <c:pt idx="4">
                  <c:v>0</c:v>
                </c:pt>
                <c:pt idx="5">
                  <c:v>140</c:v>
                </c:pt>
                <c:pt idx="6">
                  <c:v>272.72727272727269</c:v>
                </c:pt>
                <c:pt idx="7">
                  <c:v>0</c:v>
                </c:pt>
                <c:pt idx="8">
                  <c:v>0</c:v>
                </c:pt>
                <c:pt idx="9">
                  <c:v>0</c:v>
                </c:pt>
                <c:pt idx="10">
                  <c:v>0</c:v>
                </c:pt>
              </c:numCache>
            </c:numRef>
          </c:val>
          <c:extLst>
            <c:ext xmlns:c16="http://schemas.microsoft.com/office/drawing/2014/chart" uri="{C3380CC4-5D6E-409C-BE32-E72D297353CC}">
              <c16:uniqueId val="{00000000-7FD5-4D27-A826-E3627E512CDA}"/>
            </c:ext>
          </c:extLst>
        </c:ser>
        <c:ser>
          <c:idx val="3"/>
          <c:order val="3"/>
          <c:tx>
            <c:strRef>
              <c:f>'5. Sev. Cauca'!$B$20</c:f>
              <c:strCache>
                <c:ptCount val="1"/>
                <c:pt idx="0">
                  <c:v>SEVERIDAD 2025</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Sev. Cauca'!$C$16:$N$16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'5. Sev. Cauca'!$C$20:$N$20</c:f>
              <c:numCache>
                <c:formatCode>General</c:formatCode>
                <c:ptCount val="12"/>
                <c:pt idx="0">
                  <c:v>3.4</c:v>
                </c:pt>
                <c:pt idx="1">
                  <c:v>15.8</c:v>
                </c:pt>
                <c:pt idx="2">
                  <c:v>30.3</c:v>
                </c:pt>
                <c:pt idx="3">
                  <c:v>18.8</c:v>
                </c:pt>
                <c:pt idx="4">
                  <c:v>18.100000000000001</c:v>
                </c:pt>
                <c:pt idx="5">
                  <c:v>4.7</c:v>
                </c:pt>
                <c:pt idx="6">
                  <c:v>67.3</c:v>
                </c:pt>
                <c:pt idx="7">
                  <c:v>0</c:v>
                </c:pt>
                <c:pt idx="8">
                  <c:v>0</c:v>
                </c:pt>
                <c:pt idx="9">
                  <c:v>12.2</c:v>
                </c:pt>
                <c:pt idx="10">
                  <c:v>0</c:v>
                </c:pt>
                <c:pt idx="11">
                  <c:v>3.7</c:v>
                </c:pt>
              </c:numCache>
            </c:numRef>
          </c:val>
          <c:extLst>
            <c:ext xmlns:c16="http://schemas.microsoft.com/office/drawing/2014/chart" uri="{C3380CC4-5D6E-409C-BE32-E72D297353CC}">
              <c16:uniqueId val="{00000001-7FD5-4D27-A826-E3627E512CDA}"/>
            </c:ext>
          </c:extLst>
        </c:ser>
        <c:dLbls>
          <c:showLegendKey val="0"/>
          <c:showVal val="0"/>
          <c:showCatName val="0"/>
          <c:showSerName val="0"/>
          <c:showPercent val="0"/>
          <c:showBubbleSize val="0"/>
        </c:dLbls>
        <c:gapWidth val="150"/>
        <c:axId val="543722312"/>
        <c:axId val="478104568"/>
        <c:extLst>
          <c:ext xmlns:c15="http://schemas.microsoft.com/office/drawing/2012/chart" uri="{02D57815-91ED-43cb-92C2-25804820EDAC}">
            <c15:filteredBarSeries>
              <c15:ser>
                <c:idx val="0"/>
                <c:order val="0"/>
                <c:tx>
                  <c:strRef>
                    <c:extLst>
                      <c:ext uri="{02D57815-91ED-43cb-92C2-25804820EDAC}">
                        <c15:formulaRef>
                          <c15:sqref>'5. Sev. Cauca'!$B$17</c15:sqref>
                        </c15:formulaRef>
                      </c:ext>
                    </c:extLst>
                    <c:strCache>
                      <c:ptCount val="1"/>
                      <c:pt idx="0">
                        <c:v># Dias Incapa en el mes</c:v>
                      </c:pt>
                    </c:strCache>
                  </c:strRef>
                </c:tx>
                <c:spPr>
                  <a:solidFill>
                    <a:schemeClr val="accent1"/>
                  </a:solidFill>
                  <a:ln>
                    <a:noFill/>
                  </a:ln>
                  <a:effectLst/>
                </c:spPr>
                <c:invertIfNegative val="0"/>
                <c:cat>
                  <c:strRef>
                    <c:extLst>
                      <c:ext uri="{02D57815-91ED-43cb-92C2-25804820EDAC}">
                        <c15:formulaRef>
                          <c15:sqref>'5. Sev. Cauca'!$C$16:$N$16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uri="{02D57815-91ED-43cb-92C2-25804820EDAC}">
                        <c15:formulaRef>
                          <c15:sqref>'5. Sev. Cauca'!$C$17:$N$17</c15:sqref>
                        </c15:formulaRef>
                      </c:ext>
                    </c:extLst>
                    <c:numCache>
                      <c:formatCode>General</c:formatCode>
                      <c:ptCount val="12"/>
                      <c:pt idx="0">
                        <c:v>0</c:v>
                      </c:pt>
                      <c:pt idx="1">
                        <c:v>0</c:v>
                      </c:pt>
                      <c:pt idx="2">
                        <c:v>0</c:v>
                      </c:pt>
                      <c:pt idx="3">
                        <c:v>0</c:v>
                      </c:pt>
                      <c:pt idx="4">
                        <c:v>0</c:v>
                      </c:pt>
                      <c:pt idx="5">
                        <c:v>28</c:v>
                      </c:pt>
                      <c:pt idx="6">
                        <c:v>30</c:v>
                      </c:pt>
                      <c:pt idx="7">
                        <c:v>0</c:v>
                      </c:pt>
                    </c:numCache>
                  </c:numRef>
                </c:val>
                <c:extLst>
                  <c:ext xmlns:c16="http://schemas.microsoft.com/office/drawing/2014/chart" uri="{C3380CC4-5D6E-409C-BE32-E72D297353CC}">
                    <c16:uniqueId val="{00000002-7FD5-4D27-A826-E3627E512CD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'5. Sev. Cauca'!$B$18</c15:sqref>
                        </c15:formulaRef>
                      </c:ext>
                    </c:extLst>
                    <c:strCache>
                      <c:ptCount val="1"/>
                      <c:pt idx="0">
                        <c:v># Trabajadores en el mes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'5. Sev. Cauca'!$C$16:$N$16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'5. Sev. Cauca'!$C$18:$N$18</c15:sqref>
                        </c15:formulaRef>
                      </c:ext>
                    </c:extLst>
                    <c:numCache>
                      <c:formatCode>0</c:formatCode>
                      <c:ptCount val="12"/>
                      <c:pt idx="0">
                        <c:v>7</c:v>
                      </c:pt>
                      <c:pt idx="1">
                        <c:v>15</c:v>
                      </c:pt>
                      <c:pt idx="2">
                        <c:v>15</c:v>
                      </c:pt>
                      <c:pt idx="3">
                        <c:v>24</c:v>
                      </c:pt>
                      <c:pt idx="4">
                        <c:v>22</c:v>
                      </c:pt>
                      <c:pt idx="5">
                        <c:v>20</c:v>
                      </c:pt>
                      <c:pt idx="6">
                        <c:v>11</c:v>
                      </c:pt>
                      <c:pt idx="7">
                        <c:v>10</c:v>
                      </c:pt>
                    </c:numCache>
                  </c:numRef>
                </c:val>
                <c:extLst xmlns:c15="http://schemas.microsoft.com/office/drawing/2012/chart">
                  <c:ext xmlns:c16="http://schemas.microsoft.com/office/drawing/2014/chart" uri="{C3380CC4-5D6E-409C-BE32-E72D297353CC}">
                    <c16:uniqueId val="{00000003-7FD5-4D27-A826-E3627E512CDA}"/>
                  </c:ext>
                </c:extLst>
              </c15:ser>
            </c15:filteredBarSeries>
          </c:ext>
        </c:extLst>
      </c:barChart>
      <c:catAx>
        <c:axId val="543722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104568"/>
        <c:crosses val="autoZero"/>
        <c:auto val="1"/>
        <c:lblAlgn val="ctr"/>
        <c:lblOffset val="100"/>
        <c:noMultiLvlLbl val="0"/>
      </c:catAx>
      <c:valAx>
        <c:axId val="478104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3722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i="1"/>
              <a:t>Severidad Sede Santander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2"/>
          <c:order val="2"/>
          <c:tx>
            <c:strRef>
              <c:f>'6. Sev. Santander'!$B$19</c:f>
              <c:strCache>
                <c:ptCount val="1"/>
                <c:pt idx="0">
                  <c:v>SEVERIDAD 2026</c:v>
                </c:pt>
              </c:strCache>
            </c:strRef>
          </c:tx>
          <c:spPr>
            <a:solidFill>
              <a:srgbClr val="00990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Sev. Santander'!$C$16:$N$16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'6. Sev. Santander'!$C$19:$N$19</c:f>
              <c:numCache>
                <c:formatCode>0.0</c:formatCode>
                <c:ptCount val="12"/>
                <c:pt idx="0">
                  <c:v>5.2631578947368416</c:v>
                </c:pt>
                <c:pt idx="1">
                  <c:v>80.392156862745097</c:v>
                </c:pt>
                <c:pt idx="2">
                  <c:v>0</c:v>
                </c:pt>
                <c:pt idx="3">
                  <c:v>40</c:v>
                </c:pt>
                <c:pt idx="4">
                  <c:v>0</c:v>
                </c:pt>
                <c:pt idx="5">
                  <c:v>49.019607843137251</c:v>
                </c:pt>
                <c:pt idx="6">
                  <c:v>8.6419753086419746</c:v>
                </c:pt>
                <c:pt idx="7">
                  <c:v>34.146341463414636</c:v>
                </c:pt>
              </c:numCache>
            </c:numRef>
          </c:val>
          <c:extLst>
            <c:ext xmlns:c16="http://schemas.microsoft.com/office/drawing/2014/chart" uri="{C3380CC4-5D6E-409C-BE32-E72D297353CC}">
              <c16:uniqueId val="{00000000-10AA-4E5B-820C-08F67DE02591}"/>
            </c:ext>
          </c:extLst>
        </c:ser>
        <c:ser>
          <c:idx val="3"/>
          <c:order val="3"/>
          <c:tx>
            <c:strRef>
              <c:f>'6. Sev. Santander'!$B$20</c:f>
              <c:strCache>
                <c:ptCount val="1"/>
                <c:pt idx="0">
                  <c:v>SEVERIDAD 2025</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Sev. Santander'!$C$16:$N$16</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'6. Sev. Santander'!$C$20:$N$20</c:f>
              <c:numCache>
                <c:formatCode>General</c:formatCode>
                <c:ptCount val="12"/>
                <c:pt idx="0">
                  <c:v>0</c:v>
                </c:pt>
                <c:pt idx="1">
                  <c:v>10.9</c:v>
                </c:pt>
                <c:pt idx="2">
                  <c:v>11.7</c:v>
                </c:pt>
                <c:pt idx="3">
                  <c:v>8</c:v>
                </c:pt>
                <c:pt idx="4">
                  <c:v>0</c:v>
                </c:pt>
                <c:pt idx="5">
                  <c:v>41.5</c:v>
                </c:pt>
                <c:pt idx="6">
                  <c:v>39.1</c:v>
                </c:pt>
                <c:pt idx="7">
                  <c:v>4.3</c:v>
                </c:pt>
                <c:pt idx="8">
                  <c:v>2</c:v>
                </c:pt>
                <c:pt idx="9">
                  <c:v>6.6</c:v>
                </c:pt>
                <c:pt idx="10">
                  <c:v>16.899999999999999</c:v>
                </c:pt>
                <c:pt idx="11">
                  <c:v>0</c:v>
                </c:pt>
              </c:numCache>
            </c:numRef>
          </c:val>
          <c:extLst>
            <c:ext xmlns:c16="http://schemas.microsoft.com/office/drawing/2014/chart" uri="{C3380CC4-5D6E-409C-BE32-E72D297353CC}">
              <c16:uniqueId val="{00000001-10AA-4E5B-820C-08F67DE02591}"/>
            </c:ext>
          </c:extLst>
        </c:ser>
        <c:dLbls>
          <c:showLegendKey val="0"/>
          <c:showVal val="0"/>
          <c:showCatName val="0"/>
          <c:showSerName val="0"/>
          <c:showPercent val="0"/>
          <c:showBubbleSize val="0"/>
        </c:dLbls>
        <c:gapWidth val="150"/>
        <c:axId val="478103784"/>
        <c:axId val="478101824"/>
        <c:extLst>
          <c:ext xmlns:c15="http://schemas.microsoft.com/office/drawing/2012/chart" uri="{02D57815-91ED-43cb-92C2-25804820EDAC}">
            <c15:filteredBarSeries>
              <c15:ser>
                <c:idx val="0"/>
                <c:order val="0"/>
                <c:tx>
                  <c:strRef>
                    <c:extLst>
                      <c:ext uri="{02D57815-91ED-43cb-92C2-25804820EDAC}">
                        <c15:formulaRef>
                          <c15:sqref>'6. Sev. Santander'!$B$17</c15:sqref>
                        </c15:formulaRef>
                      </c:ext>
                    </c:extLst>
                    <c:strCache>
                      <c:ptCount val="1"/>
                      <c:pt idx="0">
                        <c:v># Dias Incapa en el mes</c:v>
                      </c:pt>
                    </c:strCache>
                  </c:strRef>
                </c:tx>
                <c:spPr>
                  <a:solidFill>
                    <a:schemeClr val="accent1"/>
                  </a:solidFill>
                  <a:ln>
                    <a:noFill/>
                  </a:ln>
                  <a:effectLst/>
                </c:spPr>
                <c:invertIfNegative val="0"/>
                <c:cat>
                  <c:strRef>
                    <c:extLst>
                      <c:ext uri="{02D57815-91ED-43cb-92C2-25804820EDAC}">
                        <c15:formulaRef>
                          <c15:sqref>'6. Sev. Santander'!$C$16:$N$16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c:ext uri="{02D57815-91ED-43cb-92C2-25804820EDAC}">
                        <c15:formulaRef>
                          <c15:sqref>'6. Sev. Santander'!$C$17:$N$17</c15:sqref>
                        </c15:formulaRef>
                      </c:ext>
                    </c:extLst>
                    <c:numCache>
                      <c:formatCode>General</c:formatCode>
                      <c:ptCount val="12"/>
                      <c:pt idx="0">
                        <c:v>3</c:v>
                      </c:pt>
                      <c:pt idx="1">
                        <c:v>41</c:v>
                      </c:pt>
                      <c:pt idx="2">
                        <c:v>0</c:v>
                      </c:pt>
                      <c:pt idx="3">
                        <c:v>20</c:v>
                      </c:pt>
                      <c:pt idx="4">
                        <c:v>0</c:v>
                      </c:pt>
                      <c:pt idx="5">
                        <c:v>25</c:v>
                      </c:pt>
                      <c:pt idx="6">
                        <c:v>7</c:v>
                      </c:pt>
                      <c:pt idx="7">
                        <c:v>28</c:v>
                      </c:pt>
                    </c:numCache>
                  </c:numRef>
                </c:val>
                <c:extLst>
                  <c:ext xmlns:c16="http://schemas.microsoft.com/office/drawing/2014/chart" uri="{C3380CC4-5D6E-409C-BE32-E72D297353CC}">
                    <c16:uniqueId val="{00000002-10AA-4E5B-820C-08F67DE0259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'6. Sev. Santander'!$B$18</c15:sqref>
                        </c15:formulaRef>
                      </c:ext>
                    </c:extLst>
                    <c:strCache>
                      <c:ptCount val="1"/>
                      <c:pt idx="0">
                        <c:v># Trabajadores en el mes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'6. Sev. Santander'!$C$16:$N$16</c15:sqref>
                        </c15:formulaRef>
                      </c:ext>
                    </c:extLst>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'6. Sev. Santander'!$C$18:$N$18</c15:sqref>
                        </c15:formulaRef>
                      </c:ext>
                    </c:extLst>
                    <c:numCache>
                      <c:formatCode>0</c:formatCode>
                      <c:ptCount val="12"/>
                      <c:pt idx="0">
                        <c:v>57</c:v>
                      </c:pt>
                      <c:pt idx="1">
                        <c:v>51</c:v>
                      </c:pt>
                      <c:pt idx="2">
                        <c:v>48</c:v>
                      </c:pt>
                      <c:pt idx="3">
                        <c:v>50</c:v>
                      </c:pt>
                      <c:pt idx="4">
                        <c:v>47</c:v>
                      </c:pt>
                      <c:pt idx="5">
                        <c:v>51</c:v>
                      </c:pt>
                      <c:pt idx="6">
                        <c:v>81</c:v>
                      </c:pt>
                      <c:pt idx="7">
                        <c:v>82</c:v>
                      </c:pt>
                    </c:numCache>
                  </c:numRef>
                </c:val>
                <c:extLst xmlns:c15="http://schemas.microsoft.com/office/drawing/2012/chart">
                  <c:ext xmlns:c16="http://schemas.microsoft.com/office/drawing/2014/chart" uri="{C3380CC4-5D6E-409C-BE32-E72D297353CC}">
                    <c16:uniqueId val="{00000003-10AA-4E5B-820C-08F67DE02591}"/>
                  </c:ext>
                </c:extLst>
              </c15:ser>
            </c15:filteredBarSeries>
          </c:ext>
        </c:extLst>
      </c:barChart>
      <c:catAx>
        <c:axId val="478103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101824"/>
        <c:crosses val="autoZero"/>
        <c:auto val="1"/>
        <c:lblAlgn val="ctr"/>
        <c:lblOffset val="100"/>
        <c:noMultiLvlLbl val="0"/>
      </c:catAx>
      <c:valAx>
        <c:axId val="478101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103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1" i="1" baseline="0"/>
              <a:t>Investigacion de accidentes de trabajo</a:t>
            </a:r>
            <a:endParaRPr lang="es-MX" sz="1400" b="1" i="1"/>
          </a:p>
        </c:rich>
      </c:tx>
      <c:layout>
        <c:manualLayout>
          <c:xMode val="edge"/>
          <c:yMode val="edge"/>
          <c:x val="0.32945268305632269"/>
          <c:y val="3.240729303264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10099759405074367"/>
          <c:y val="0.15782407407407409"/>
          <c:w val="0.87122462817147861"/>
          <c:h val="0.61498432487605714"/>
        </c:manualLayout>
      </c:layout>
      <c:barChart>
        <c:barDir val="col"/>
        <c:grouping val="clustered"/>
        <c:varyColors val="0"/>
        <c:ser>
          <c:idx val="2"/>
          <c:order val="2"/>
          <c:tx>
            <c:strRef>
              <c:f>'7. Inves. AT'!$B$19</c:f>
              <c:strCache>
                <c:ptCount val="1"/>
                <c:pt idx="0">
                  <c:v>CUMPLIMIENTO</c:v>
                </c:pt>
              </c:strCache>
            </c:strRef>
          </c:tx>
          <c:spPr>
            <a:solidFill>
              <a:srgbClr val="00B050"/>
            </a:solidFill>
            <a:ln>
              <a:solidFill>
                <a:srgbClr val="00B050"/>
              </a:solidFill>
            </a:ln>
            <a:effectLst/>
          </c:spPr>
          <c:invertIfNegative val="0"/>
          <c:cat>
            <c:strRef>
              <c:extLst>
                <c:ext xmlns:c15="http://schemas.microsoft.com/office/drawing/2012/chart" uri="{02D57815-91ED-43cb-92C2-25804820EDAC}">
                  <c15:fullRef>
                    <c15:sqref>'7. Inves. AT'!$C$16:$N$16</c15:sqref>
                  </c15:fullRef>
                </c:ext>
              </c:extLst>
              <c:f>'7. Inves. AT'!$C$16:$M$16</c:f>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xmlns:c15="http://schemas.microsoft.com/office/drawing/2012/chart" uri="{02D57815-91ED-43cb-92C2-25804820EDAC}">
                  <c15:fullRef>
                    <c15:sqref>'7. Inves. AT'!$C$19:$N$19</c15:sqref>
                  </c15:fullRef>
                </c:ext>
              </c:extLst>
              <c:f>'7. Inves. AT'!$C$19:$M$19</c:f>
              <c:numCache>
                <c:formatCode>0.0</c:formatCode>
                <c:ptCount val="11"/>
                <c:pt idx="0">
                  <c:v>100</c:v>
                </c:pt>
                <c:pt idx="1">
                  <c:v>5</c:v>
                </c:pt>
                <c:pt idx="2">
                  <c:v>0</c:v>
                </c:pt>
                <c:pt idx="3">
                  <c:v>100</c:v>
                </c:pt>
                <c:pt idx="4">
                  <c:v>0</c:v>
                </c:pt>
                <c:pt idx="5">
                  <c:v>100</c:v>
                </c:pt>
                <c:pt idx="6">
                  <c:v>100</c:v>
                </c:pt>
                <c:pt idx="7">
                  <c:v>100</c:v>
                </c:pt>
              </c:numCache>
            </c:numRef>
          </c:val>
          <c:extLst>
            <c:ext xmlns:c16="http://schemas.microsoft.com/office/drawing/2014/chart" uri="{C3380CC4-5D6E-409C-BE32-E72D297353CC}">
              <c16:uniqueId val="{00000002-78F8-44A3-BF7D-27F1F17BF5B8}"/>
            </c:ext>
          </c:extLst>
        </c:ser>
        <c:ser>
          <c:idx val="3"/>
          <c:order val="3"/>
          <c:tx>
            <c:strRef>
              <c:f>'7. Inves. AT'!$B$20</c:f>
              <c:strCache>
                <c:ptCount val="1"/>
                <c:pt idx="0">
                  <c:v>META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76200" cap="rnd">
                <a:solidFill>
                  <a:schemeClr val="bg1">
                    <a:lumMod val="50000"/>
                  </a:schemeClr>
                </a:solidFill>
                <a:prstDash val="sysDot"/>
              </a:ln>
              <a:effectLst/>
            </c:spPr>
            <c:trendlineType val="linear"/>
            <c:dispRSqr val="0"/>
            <c:dispEq val="0"/>
          </c:trendline>
          <c:cat>
            <c:strRef>
              <c:extLst>
                <c:ext xmlns:c15="http://schemas.microsoft.com/office/drawing/2012/chart" uri="{02D57815-91ED-43cb-92C2-25804820EDAC}">
                  <c15:fullRef>
                    <c15:sqref>'7. Inves. AT'!$C$16:$N$16</c15:sqref>
                  </c15:fullRef>
                </c:ext>
              </c:extLst>
              <c:f>'7. Inves. AT'!$C$16:$M$16</c:f>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xmlns:c15="http://schemas.microsoft.com/office/drawing/2012/chart" uri="{02D57815-91ED-43cb-92C2-25804820EDAC}">
                  <c15:fullRef>
                    <c15:sqref>'7. Inves. AT'!$C$20:$N$20</c15:sqref>
                  </c15:fullRef>
                </c:ext>
              </c:extLst>
              <c:f>'7. Inves. AT'!$C$20:$M$20</c:f>
              <c:numCache>
                <c:formatCode>General</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extLst>
            <c:ext xmlns:c16="http://schemas.microsoft.com/office/drawing/2014/chart" uri="{C3380CC4-5D6E-409C-BE32-E72D297353CC}">
              <c16:uniqueId val="{00000003-78F8-44A3-BF7D-27F1F17BF5B8}"/>
            </c:ext>
          </c:extLst>
        </c:ser>
        <c:dLbls>
          <c:showLegendKey val="0"/>
          <c:showVal val="0"/>
          <c:showCatName val="0"/>
          <c:showSerName val="0"/>
          <c:showPercent val="0"/>
          <c:showBubbleSize val="0"/>
        </c:dLbls>
        <c:gapWidth val="219"/>
        <c:overlap val="-27"/>
        <c:axId val="478099080"/>
        <c:axId val="478098688"/>
        <c:extLst>
          <c:ext xmlns:c15="http://schemas.microsoft.com/office/drawing/2012/chart" uri="{02D57815-91ED-43cb-92C2-25804820EDAC}">
            <c15:filteredBarSeries>
              <c15:ser>
                <c:idx val="0"/>
                <c:order val="0"/>
                <c:tx>
                  <c:strRef>
                    <c:extLst>
                      <c:ext uri="{02D57815-91ED-43cb-92C2-25804820EDAC}">
                        <c15:formulaRef>
                          <c15:sqref>'7. Inves. AT'!$B$17</c15:sqref>
                        </c15:formulaRef>
                      </c:ext>
                    </c:extLst>
                    <c:strCache>
                      <c:ptCount val="1"/>
                      <c:pt idx="0">
                        <c:v>#AT </c:v>
                      </c:pt>
                    </c:strCache>
                  </c:strRef>
                </c:tx>
                <c:spPr>
                  <a:solidFill>
                    <a:schemeClr val="accent1"/>
                  </a:solidFill>
                  <a:ln>
                    <a:noFill/>
                  </a:ln>
                  <a:effectLst/>
                </c:spPr>
                <c:invertIfNegative val="0"/>
                <c:cat>
                  <c:strRef>
                    <c:extLst>
                      <c:ext uri="{02D57815-91ED-43cb-92C2-25804820EDAC}">
                        <c15:fullRef>
                          <c15:sqref>'7. Inves. AT'!$C$16:$N$16</c15:sqref>
                        </c15:fullRef>
                        <c15:formulaRef>
                          <c15:sqref>'7. Inves. AT'!$C$16:$M$16</c15:sqref>
                        </c15:formulaRef>
                      </c:ext>
                    </c:extLst>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uri="{02D57815-91ED-43cb-92C2-25804820EDAC}">
                        <c15:fullRef>
                          <c15:sqref>'7. Inves. AT'!$C$17:$N$17</c15:sqref>
                        </c15:fullRef>
                        <c15:formulaRef>
                          <c15:sqref>'7. Inves. AT'!$C$17:$M$17</c15:sqref>
                        </c15:formulaRef>
                      </c:ext>
                    </c:extLst>
                    <c:numCache>
                      <c:formatCode>General</c:formatCode>
                      <c:ptCount val="11"/>
                      <c:pt idx="0">
                        <c:v>1</c:v>
                      </c:pt>
                      <c:pt idx="1">
                        <c:v>5</c:v>
                      </c:pt>
                      <c:pt idx="2">
                        <c:v>0</c:v>
                      </c:pt>
                      <c:pt idx="3">
                        <c:v>1</c:v>
                      </c:pt>
                      <c:pt idx="4">
                        <c:v>0</c:v>
                      </c:pt>
                      <c:pt idx="5">
                        <c:v>2</c:v>
                      </c:pt>
                      <c:pt idx="6">
                        <c:v>1</c:v>
                      </c:pt>
                      <c:pt idx="7">
                        <c:v>4</c:v>
                      </c:pt>
                    </c:numCache>
                  </c:numRef>
                </c:val>
                <c:extLst>
                  <c:ext xmlns:c16="http://schemas.microsoft.com/office/drawing/2014/chart" uri="{C3380CC4-5D6E-409C-BE32-E72D297353CC}">
                    <c16:uniqueId val="{00000000-78F8-44A3-BF7D-27F1F17BF5B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'7. Inves. AT'!$B$18</c15:sqref>
                        </c15:formulaRef>
                      </c:ext>
                    </c:extLst>
                    <c:strCache>
                      <c:ptCount val="1"/>
                      <c:pt idx="0">
                        <c:v># AT INVE</c:v>
                      </c:pt>
                    </c:strCache>
                  </c:strRef>
                </c:tx>
                <c:spPr>
                  <a:solidFill>
                    <a:schemeClr val="accent2"/>
                  </a:solidFill>
                  <a:ln>
                    <a:noFill/>
                  </a:ln>
                  <a:effectLst/>
                </c:spPr>
                <c:invertIfNegative val="0"/>
                <c:cat>
                  <c:strRef>
                    <c:extLst>
                      <c:ext xmlns:c15="http://schemas.microsoft.com/office/drawing/2012/chart" uri="{02D57815-91ED-43cb-92C2-25804820EDAC}">
                        <c15:fullRef>
                          <c15:sqref>'7. Inves. AT'!$C$16:$N$16</c15:sqref>
                        </c15:fullRef>
                        <c15:formulaRef>
                          <c15:sqref>'7. Inves. AT'!$C$16:$M$16</c15:sqref>
                        </c15:formulaRef>
                      </c:ext>
                    </c:extLst>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xmlns:c15="http://schemas.microsoft.com/office/drawing/2012/chart" uri="{02D57815-91ED-43cb-92C2-25804820EDAC}">
                        <c15:fullRef>
                          <c15:sqref>'7. Inves. AT'!$C$18:$N$18</c15:sqref>
                        </c15:fullRef>
                        <c15:formulaRef>
                          <c15:sqref>'7. Inves. AT'!$C$18:$M$18</c15:sqref>
                        </c15:formulaRef>
                      </c:ext>
                    </c:extLst>
                    <c:numCache>
                      <c:formatCode>General</c:formatCode>
                      <c:ptCount val="11"/>
                      <c:pt idx="0">
                        <c:v>1</c:v>
                      </c:pt>
                      <c:pt idx="1">
                        <c:v>5</c:v>
                      </c:pt>
                      <c:pt idx="2">
                        <c:v>0</c:v>
                      </c:pt>
                      <c:pt idx="3">
                        <c:v>1</c:v>
                      </c:pt>
                      <c:pt idx="4">
                        <c:v>0</c:v>
                      </c:pt>
                      <c:pt idx="5">
                        <c:v>2</c:v>
                      </c:pt>
                      <c:pt idx="6">
                        <c:v>1</c:v>
                      </c:pt>
                      <c:pt idx="7">
                        <c:v>4</c:v>
                      </c:pt>
                    </c:numCache>
                  </c:numRef>
                </c:val>
                <c:extLst xmlns:c15="http://schemas.microsoft.com/office/drawing/2012/chart">
                  <c:ext xmlns:c16="http://schemas.microsoft.com/office/drawing/2014/chart" uri="{C3380CC4-5D6E-409C-BE32-E72D297353CC}">
                    <c16:uniqueId val="{00000001-78F8-44A3-BF7D-27F1F17BF5B8}"/>
                  </c:ext>
                </c:extLst>
              </c15:ser>
            </c15:filteredBarSeries>
          </c:ext>
        </c:extLst>
      </c:barChart>
      <c:catAx>
        <c:axId val="47809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098688"/>
        <c:crosses val="autoZero"/>
        <c:auto val="1"/>
        <c:lblAlgn val="ctr"/>
        <c:lblOffset val="100"/>
        <c:noMultiLvlLbl val="0"/>
      </c:catAx>
      <c:valAx>
        <c:axId val="4780986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099080"/>
        <c:crosses val="autoZero"/>
        <c:crossBetween val="between"/>
      </c:valAx>
      <c:spPr>
        <a:noFill/>
        <a:ln>
          <a:noFill/>
        </a:ln>
        <a:effectLst/>
      </c:spPr>
    </c:plotArea>
    <c:legend>
      <c:legendPos val="r"/>
      <c:legendEntry>
        <c:idx val="2"/>
        <c:delete val="1"/>
      </c:legendEntry>
      <c:layout>
        <c:manualLayout>
          <c:xMode val="edge"/>
          <c:yMode val="edge"/>
          <c:x val="0.30539845108704466"/>
          <c:y val="0.85446677003217242"/>
          <c:w val="0.51566664433987253"/>
          <c:h val="0.1406673432528643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200" b="1"/>
              <a:t>PARTE DEL CUERPO AFECTADA </a:t>
            </a:r>
            <a:r>
              <a:rPr lang="es-CO" sz="1200" b="1" baseline="0"/>
              <a:t> - </a:t>
            </a:r>
            <a:r>
              <a:rPr lang="es-CO" sz="1200" b="1"/>
              <a:t> ABRIL</a:t>
            </a:r>
          </a:p>
        </c:rich>
      </c:tx>
      <c:layout>
        <c:manualLayout>
          <c:xMode val="edge"/>
          <c:yMode val="edge"/>
          <c:x val="0.1853748906386701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cuerpo'!$B$14</c:f>
              <c:strCache>
                <c:ptCount val="1"/>
                <c:pt idx="0">
                  <c:v>CANTIDAD</c:v>
                </c:pt>
              </c:strCache>
            </c:strRef>
          </c:tx>
          <c:spPr>
            <a:solidFill>
              <a:srgbClr val="009900"/>
            </a:solidFill>
            <a:ln>
              <a:noFill/>
            </a:ln>
            <a:effectLst/>
          </c:spPr>
          <c:invertIfNegative val="0"/>
          <c:dPt>
            <c:idx val="0"/>
            <c:invertIfNegative val="0"/>
            <c:bubble3D val="0"/>
            <c:extLst>
              <c:ext xmlns:c16="http://schemas.microsoft.com/office/drawing/2014/chart" uri="{C3380CC4-5D6E-409C-BE32-E72D297353CC}">
                <c16:uniqueId val="{00000000-D4C0-494A-9D2F-5D3028795D13}"/>
              </c:ext>
            </c:extLst>
          </c:dPt>
          <c:dPt>
            <c:idx val="1"/>
            <c:invertIfNegative val="0"/>
            <c:bubble3D val="0"/>
            <c:extLst>
              <c:ext xmlns:c16="http://schemas.microsoft.com/office/drawing/2014/chart" uri="{C3380CC4-5D6E-409C-BE32-E72D297353CC}">
                <c16:uniqueId val="{00000001-D4C0-494A-9D2F-5D3028795D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cuerpo'!$A$15:$A$25</c15:sqref>
                  </c15:fullRef>
                </c:ext>
              </c:extLst>
              <c:f>('9. Parte del cuerpo'!$A$17,'9. Parte del cuerpo'!$A$22)</c:f>
              <c:strCache>
                <c:ptCount val="2"/>
                <c:pt idx="0">
                  <c:v>Miembros inferiores</c:v>
                </c:pt>
                <c:pt idx="1">
                  <c:v>Cabeza</c:v>
                </c:pt>
              </c:strCache>
            </c:strRef>
          </c:cat>
          <c:val>
            <c:numRef>
              <c:extLst>
                <c:ext xmlns:c15="http://schemas.microsoft.com/office/drawing/2012/chart" uri="{02D57815-91ED-43cb-92C2-25804820EDAC}">
                  <c15:fullRef>
                    <c15:sqref>'9. Parte del cuerpo'!$B$15:$B$25</c15:sqref>
                  </c15:fullRef>
                </c:ext>
              </c:extLst>
              <c:f>('9. Parte del cuerpo'!$B$17,'9. Parte del cuerpo'!$B$22)</c:f>
              <c:numCache>
                <c:formatCode>General</c:formatCode>
                <c:ptCount val="2"/>
                <c:pt idx="0">
                  <c:v>1</c:v>
                </c:pt>
                <c:pt idx="1">
                  <c:v>1</c:v>
                </c:pt>
              </c:numCache>
            </c:numRef>
          </c:val>
          <c:extLst>
            <c:ext xmlns:c16="http://schemas.microsoft.com/office/drawing/2014/chart" uri="{C3380CC4-5D6E-409C-BE32-E72D297353CC}">
              <c16:uniqueId val="{00000002-D4C0-494A-9D2F-5D3028795D13}"/>
            </c:ext>
          </c:extLst>
        </c:ser>
        <c:dLbls>
          <c:dLblPos val="inEnd"/>
          <c:showLegendKey val="0"/>
          <c:showVal val="1"/>
          <c:showCatName val="0"/>
          <c:showSerName val="0"/>
          <c:showPercent val="0"/>
          <c:showBubbleSize val="0"/>
        </c:dLbls>
        <c:gapWidth val="182"/>
        <c:axId val="472279856"/>
        <c:axId val="458943648"/>
      </c:barChart>
      <c:catAx>
        <c:axId val="4722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8943648"/>
        <c:crosses val="autoZero"/>
        <c:auto val="1"/>
        <c:lblAlgn val="ctr"/>
        <c:lblOffset val="100"/>
        <c:noMultiLvlLbl val="0"/>
      </c:catAx>
      <c:valAx>
        <c:axId val="45894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2279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PARTE DEL CUERPO AFECTADA - MAYO</a:t>
            </a:r>
          </a:p>
        </c:rich>
      </c:tx>
      <c:layout>
        <c:manualLayout>
          <c:xMode val="edge"/>
          <c:yMode val="edge"/>
          <c:x val="0.15727502076091182"/>
          <c:y val="3.83691724633075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cuerpo'!$B$27</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cuerpo'!$A$28:$A$38</c15:sqref>
                  </c15:fullRef>
                </c:ext>
              </c:extLst>
              <c:f>('9. Parte del cuerpo'!$A$29:$A$31,'9. Parte del cuerpo'!$A$35)</c:f>
              <c:strCache>
                <c:ptCount val="4"/>
                <c:pt idx="0">
                  <c:v>Pies</c:v>
                </c:pt>
                <c:pt idx="1">
                  <c:v>Miembros inferiores</c:v>
                </c:pt>
                <c:pt idx="2">
                  <c:v>Miembros superiores</c:v>
                </c:pt>
                <c:pt idx="3">
                  <c:v>Cabeza</c:v>
                </c:pt>
              </c:strCache>
            </c:strRef>
          </c:cat>
          <c:val>
            <c:numRef>
              <c:extLst>
                <c:ext xmlns:c15="http://schemas.microsoft.com/office/drawing/2012/chart" uri="{02D57815-91ED-43cb-92C2-25804820EDAC}">
                  <c15:fullRef>
                    <c15:sqref>'9. Parte del cuerpo'!$B$28:$B$38</c15:sqref>
                  </c15:fullRef>
                </c:ext>
              </c:extLst>
              <c:f>('9. Parte del cuerpo'!$B$29:$B$31,'9. Parte del cuerpo'!$B$35)</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961A-4167-98B3-8635E36B84B0}"/>
            </c:ext>
          </c:extLst>
        </c:ser>
        <c:dLbls>
          <c:dLblPos val="inEnd"/>
          <c:showLegendKey val="0"/>
          <c:showVal val="1"/>
          <c:showCatName val="0"/>
          <c:showSerName val="0"/>
          <c:showPercent val="0"/>
          <c:showBubbleSize val="0"/>
        </c:dLbls>
        <c:gapWidth val="182"/>
        <c:axId val="470259312"/>
        <c:axId val="470256960"/>
      </c:barChart>
      <c:catAx>
        <c:axId val="47025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6960"/>
        <c:crosses val="autoZero"/>
        <c:auto val="1"/>
        <c:lblAlgn val="ctr"/>
        <c:lblOffset val="100"/>
        <c:noMultiLvlLbl val="0"/>
      </c:catAx>
      <c:valAx>
        <c:axId val="470256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9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PARTE DEL CUERPO AFECTADA - JUNIO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cuerpo'!$B$41</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cuerpo'!$A$42:$A$53</c15:sqref>
                  </c15:fullRef>
                </c:ext>
              </c:extLst>
              <c:f>('9. Parte del cuerpo'!$A$43:$A$46,'9. Parte del cuerpo'!$A$48)</c:f>
              <c:strCache>
                <c:ptCount val="5"/>
                <c:pt idx="0">
                  <c:v>Pies</c:v>
                </c:pt>
                <c:pt idx="1">
                  <c:v>Miembros inferiores</c:v>
                </c:pt>
                <c:pt idx="2">
                  <c:v>Miembros superiores</c:v>
                </c:pt>
                <c:pt idx="3">
                  <c:v>Abdomen</c:v>
                </c:pt>
                <c:pt idx="4">
                  <c:v>Tronco (incluye espalda, columna vertebral, medula espinal, pelvis)</c:v>
                </c:pt>
              </c:strCache>
            </c:strRef>
          </c:cat>
          <c:val>
            <c:numRef>
              <c:extLst>
                <c:ext xmlns:c15="http://schemas.microsoft.com/office/drawing/2012/chart" uri="{02D57815-91ED-43cb-92C2-25804820EDAC}">
                  <c15:fullRef>
                    <c15:sqref>'9. Parte del cuerpo'!$B$42:$B$53</c15:sqref>
                  </c15:fullRef>
                </c:ext>
              </c:extLst>
              <c:f>('9. Parte del cuerpo'!$B$43:$B$46,'9. Parte del cuerpo'!$B$48)</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AC70-49E7-B9F9-C686F465DEB1}"/>
            </c:ext>
          </c:extLst>
        </c:ser>
        <c:dLbls>
          <c:dLblPos val="inEnd"/>
          <c:showLegendKey val="0"/>
          <c:showVal val="1"/>
          <c:showCatName val="0"/>
          <c:showSerName val="0"/>
          <c:showPercent val="0"/>
          <c:showBubbleSize val="0"/>
        </c:dLbls>
        <c:gapWidth val="182"/>
        <c:axId val="470256176"/>
        <c:axId val="470262448"/>
      </c:barChart>
      <c:catAx>
        <c:axId val="47025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62448"/>
        <c:crosses val="autoZero"/>
        <c:auto val="1"/>
        <c:lblAlgn val="ctr"/>
        <c:lblOffset val="100"/>
        <c:noMultiLvlLbl val="0"/>
      </c:catAx>
      <c:valAx>
        <c:axId val="47026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PARTE DEL CUERPO AFECTADA - JULIO</a:t>
            </a:r>
            <a:endParaRPr lang="es-CO"/>
          </a:p>
        </c:rich>
      </c:tx>
      <c:layout>
        <c:manualLayout>
          <c:xMode val="edge"/>
          <c:yMode val="edge"/>
          <c:x val="0.17742946060782822"/>
          <c:y val="5.6847545219638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cuerpo'!$B$56</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cuerpo'!$A$57:$A$68</c15:sqref>
                  </c15:fullRef>
                </c:ext>
              </c:extLst>
              <c:f>'9. Parte del cuerpo'!$A$57</c:f>
              <c:strCache>
                <c:ptCount val="1"/>
                <c:pt idx="0">
                  <c:v>Manos</c:v>
                </c:pt>
              </c:strCache>
            </c:strRef>
          </c:cat>
          <c:val>
            <c:numRef>
              <c:extLst>
                <c:ext xmlns:c15="http://schemas.microsoft.com/office/drawing/2012/chart" uri="{02D57815-91ED-43cb-92C2-25804820EDAC}">
                  <c15:fullRef>
                    <c15:sqref>'9. Parte del cuerpo'!$B$57:$B$68</c15:sqref>
                  </c15:fullRef>
                </c:ext>
              </c:extLst>
              <c:f>'9. Parte del cuerpo'!$B$57</c:f>
              <c:numCache>
                <c:formatCode>General</c:formatCode>
                <c:ptCount val="1"/>
                <c:pt idx="0">
                  <c:v>1</c:v>
                </c:pt>
              </c:numCache>
            </c:numRef>
          </c:val>
          <c:extLst>
            <c:ext xmlns:c16="http://schemas.microsoft.com/office/drawing/2014/chart" uri="{C3380CC4-5D6E-409C-BE32-E72D297353CC}">
              <c16:uniqueId val="{00000000-C6A4-404F-8516-1B0B8ED176DB}"/>
            </c:ext>
          </c:extLst>
        </c:ser>
        <c:dLbls>
          <c:dLblPos val="inEnd"/>
          <c:showLegendKey val="0"/>
          <c:showVal val="1"/>
          <c:showCatName val="0"/>
          <c:showSerName val="0"/>
          <c:showPercent val="0"/>
          <c:showBubbleSize val="0"/>
        </c:dLbls>
        <c:gapWidth val="182"/>
        <c:axId val="470262840"/>
        <c:axId val="470257744"/>
      </c:barChart>
      <c:catAx>
        <c:axId val="470262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7744"/>
        <c:crosses val="autoZero"/>
        <c:auto val="1"/>
        <c:lblAlgn val="ctr"/>
        <c:lblOffset val="100"/>
        <c:noMultiLvlLbl val="0"/>
      </c:catAx>
      <c:valAx>
        <c:axId val="47025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62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PARTE DEL CUERPO AFECTADA - SEPTIEMBRE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cuerpo'!$B$86</c:f>
              <c:strCache>
                <c:ptCount val="1"/>
                <c:pt idx="0">
                  <c:v>CANTIDAD</c:v>
                </c:pt>
              </c:strCache>
            </c:strRef>
          </c:tx>
          <c:spPr>
            <a:solidFill>
              <a:srgbClr val="008000"/>
            </a:solidFill>
            <a:ln>
              <a:noFill/>
            </a:ln>
            <a:effectLst/>
          </c:spPr>
          <c:invertIfNegative val="0"/>
          <c:dPt>
            <c:idx val="0"/>
            <c:invertIfNegative val="0"/>
            <c:bubble3D val="0"/>
            <c:extLst>
              <c:ext xmlns:c16="http://schemas.microsoft.com/office/drawing/2014/chart" uri="{C3380CC4-5D6E-409C-BE32-E72D297353CC}">
                <c16:uniqueId val="{00000000-239C-428E-864B-5154493D9D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cuerpo'!$A$87:$A$98</c15:sqref>
                  </c15:fullRef>
                </c:ext>
              </c:extLst>
              <c:f>'9. Parte del cuerpo'!$A$95</c:f>
              <c:strCache>
                <c:ptCount val="1"/>
                <c:pt idx="0">
                  <c:v>Cabeza</c:v>
                </c:pt>
              </c:strCache>
            </c:strRef>
          </c:cat>
          <c:val>
            <c:numRef>
              <c:extLst>
                <c:ext xmlns:c15="http://schemas.microsoft.com/office/drawing/2012/chart" uri="{02D57815-91ED-43cb-92C2-25804820EDAC}">
                  <c15:fullRef>
                    <c15:sqref>'9. Parte del cuerpo'!$B$87:$B$98</c15:sqref>
                  </c15:fullRef>
                </c:ext>
              </c:extLst>
              <c:f>'9. Parte del cuerpo'!$B$95</c:f>
              <c:numCache>
                <c:formatCode>General</c:formatCode>
                <c:ptCount val="1"/>
                <c:pt idx="0">
                  <c:v>3</c:v>
                </c:pt>
              </c:numCache>
            </c:numRef>
          </c:val>
          <c:extLst>
            <c:ext xmlns:c16="http://schemas.microsoft.com/office/drawing/2014/chart" uri="{C3380CC4-5D6E-409C-BE32-E72D297353CC}">
              <c16:uniqueId val="{00000001-239C-428E-864B-5154493D9DBD}"/>
            </c:ext>
          </c:extLst>
        </c:ser>
        <c:dLbls>
          <c:dLblPos val="inEnd"/>
          <c:showLegendKey val="0"/>
          <c:showVal val="1"/>
          <c:showCatName val="0"/>
          <c:showSerName val="0"/>
          <c:showPercent val="0"/>
          <c:showBubbleSize val="0"/>
        </c:dLbls>
        <c:gapWidth val="182"/>
        <c:axId val="470263624"/>
        <c:axId val="470259704"/>
      </c:barChart>
      <c:catAx>
        <c:axId val="470263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9704"/>
        <c:crosses val="autoZero"/>
        <c:auto val="1"/>
        <c:lblAlgn val="ctr"/>
        <c:lblOffset val="100"/>
        <c:noMultiLvlLbl val="0"/>
      </c:catAx>
      <c:valAx>
        <c:axId val="470259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63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PARTE DEL CUERPO AFECTADA - OCTUBRE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cuerpo'!$B$101</c:f>
              <c:strCache>
                <c:ptCount val="1"/>
                <c:pt idx="0">
                  <c:v>CANTIDAD</c:v>
                </c:pt>
              </c:strCache>
            </c:strRef>
          </c:tx>
          <c:spPr>
            <a:solidFill>
              <a:srgbClr val="009900"/>
            </a:solidFill>
            <a:ln>
              <a:noFill/>
            </a:ln>
            <a:effectLst/>
          </c:spPr>
          <c:invertIfNegative val="0"/>
          <c:dPt>
            <c:idx val="0"/>
            <c:invertIfNegative val="0"/>
            <c:bubble3D val="0"/>
            <c:spPr>
              <a:solidFill>
                <a:srgbClr val="008000"/>
              </a:solidFill>
              <a:ln>
                <a:noFill/>
              </a:ln>
              <a:effectLst/>
            </c:spPr>
            <c:extLst>
              <c:ext xmlns:c16="http://schemas.microsoft.com/office/drawing/2014/chart" uri="{C3380CC4-5D6E-409C-BE32-E72D297353CC}">
                <c16:uniqueId val="{00000001-C5C5-4E56-9B88-7A16F28F62BB}"/>
              </c:ext>
            </c:extLst>
          </c:dPt>
          <c:dPt>
            <c:idx val="1"/>
            <c:invertIfNegative val="0"/>
            <c:bubble3D val="0"/>
            <c:spPr>
              <a:solidFill>
                <a:srgbClr val="008000"/>
              </a:solidFill>
              <a:ln>
                <a:noFill/>
              </a:ln>
              <a:effectLst/>
            </c:spPr>
            <c:extLst>
              <c:ext xmlns:c16="http://schemas.microsoft.com/office/drawing/2014/chart" uri="{C3380CC4-5D6E-409C-BE32-E72D297353CC}">
                <c16:uniqueId val="{00000003-C5C5-4E56-9B88-7A16F28F62BB}"/>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cuerpo'!$A$102:$A$113</c15:sqref>
                  </c15:fullRef>
                </c:ext>
              </c:extLst>
              <c:f>('9. Parte del cuerpo'!$A$102,'9. Parte del cuerpo'!$A$108)</c:f>
              <c:strCache>
                <c:ptCount val="2"/>
                <c:pt idx="0">
                  <c:v>Manos</c:v>
                </c:pt>
                <c:pt idx="1">
                  <c:v>Tronco (incluye espalda, columna vertebral, medula espinal, pelvis)</c:v>
                </c:pt>
              </c:strCache>
            </c:strRef>
          </c:cat>
          <c:val>
            <c:numRef>
              <c:extLst>
                <c:ext xmlns:c15="http://schemas.microsoft.com/office/drawing/2012/chart" uri="{02D57815-91ED-43cb-92C2-25804820EDAC}">
                  <c15:fullRef>
                    <c15:sqref>'9. Parte del cuerpo'!$B$102:$B$113</c15:sqref>
                  </c15:fullRef>
                </c:ext>
              </c:extLst>
              <c:f>('9. Parte del cuerpo'!$B$102,'9. Parte del cuerpo'!$B$108)</c:f>
              <c:numCache>
                <c:formatCode>General</c:formatCode>
                <c:ptCount val="2"/>
                <c:pt idx="0">
                  <c:v>2</c:v>
                </c:pt>
                <c:pt idx="1">
                  <c:v>1</c:v>
                </c:pt>
              </c:numCache>
            </c:numRef>
          </c:val>
          <c:extLst>
            <c:ext xmlns:c16="http://schemas.microsoft.com/office/drawing/2014/chart" uri="{C3380CC4-5D6E-409C-BE32-E72D297353CC}">
              <c16:uniqueId val="{00000004-C5C5-4E56-9B88-7A16F28F62BB}"/>
            </c:ext>
          </c:extLst>
        </c:ser>
        <c:dLbls>
          <c:dLblPos val="inEnd"/>
          <c:showLegendKey val="0"/>
          <c:showVal val="1"/>
          <c:showCatName val="0"/>
          <c:showSerName val="0"/>
          <c:showPercent val="0"/>
          <c:showBubbleSize val="0"/>
        </c:dLbls>
        <c:gapWidth val="182"/>
        <c:axId val="470260488"/>
        <c:axId val="470260880"/>
      </c:barChart>
      <c:catAx>
        <c:axId val="470260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60880"/>
        <c:crosses val="autoZero"/>
        <c:auto val="1"/>
        <c:lblAlgn val="ctr"/>
        <c:lblOffset val="100"/>
        <c:noMultiLvlLbl val="0"/>
      </c:catAx>
      <c:valAx>
        <c:axId val="47026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60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baseline="0">
                <a:effectLst/>
              </a:rPr>
              <a:t>PARTE DEL CUERPO AFECTADA - NOVIEMBRE</a:t>
            </a:r>
            <a:endParaRPr lang="es-CO"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barChart>
        <c:barDir val="bar"/>
        <c:grouping val="clustered"/>
        <c:varyColors val="0"/>
        <c:ser>
          <c:idx val="0"/>
          <c:order val="0"/>
          <c:tx>
            <c:strRef>
              <c:f>'9. Parte del cuerpo'!$B$116</c:f>
              <c:strCache>
                <c:ptCount val="1"/>
                <c:pt idx="0">
                  <c:v>CANTIDAD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'9. Parte del cuerpo'!$A$117:$A$128</c15:sqref>
                  </c15:fullRef>
                </c:ext>
              </c:extLst>
              <c:f>('9. Parte del cuerpo'!$A$117:$A$118,'9. Parte del cuerpo'!$A$120,'9. Parte del cuerpo'!$A$124)</c:f>
              <c:strCache>
                <c:ptCount val="4"/>
                <c:pt idx="0">
                  <c:v>Manos</c:v>
                </c:pt>
                <c:pt idx="1">
                  <c:v>Pies</c:v>
                </c:pt>
                <c:pt idx="2">
                  <c:v>Miembros superiores</c:v>
                </c:pt>
                <c:pt idx="3">
                  <c:v>Ubicaciones múltiples</c:v>
                </c:pt>
              </c:strCache>
            </c:strRef>
          </c:cat>
          <c:val>
            <c:numRef>
              <c:extLst>
                <c:ext xmlns:c15="http://schemas.microsoft.com/office/drawing/2012/chart" uri="{02D57815-91ED-43cb-92C2-25804820EDAC}">
                  <c15:fullRef>
                    <c15:sqref>'9. Parte del cuerpo'!$B$117:$B$128</c15:sqref>
                  </c15:fullRef>
                </c:ext>
              </c:extLst>
              <c:f>('9. Parte del cuerpo'!$B$117:$B$118,'9. Parte del cuerpo'!$B$120,'9. Parte del cuerpo'!$B$124)</c:f>
              <c:numCache>
                <c:formatCode>General</c:formatCode>
                <c:ptCount val="4"/>
                <c:pt idx="0">
                  <c:v>2</c:v>
                </c:pt>
                <c:pt idx="1">
                  <c:v>1</c:v>
                </c:pt>
                <c:pt idx="2">
                  <c:v>1</c:v>
                </c:pt>
                <c:pt idx="3">
                  <c:v>1</c:v>
                </c:pt>
              </c:numCache>
            </c:numRef>
          </c:val>
          <c:extLst>
            <c:ext xmlns:c16="http://schemas.microsoft.com/office/drawing/2014/chart" uri="{C3380CC4-5D6E-409C-BE32-E72D297353CC}">
              <c16:uniqueId val="{00000000-CA18-455E-9E8F-165CC977AF73}"/>
            </c:ext>
          </c:extLst>
        </c:ser>
        <c:dLbls>
          <c:dLblPos val="inEnd"/>
          <c:showLegendKey val="0"/>
          <c:showVal val="1"/>
          <c:showCatName val="0"/>
          <c:showSerName val="0"/>
          <c:showPercent val="0"/>
          <c:showBubbleSize val="0"/>
        </c:dLbls>
        <c:gapWidth val="65"/>
        <c:axId val="470261664"/>
        <c:axId val="470262056"/>
      </c:barChart>
      <c:catAx>
        <c:axId val="470261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470262056"/>
        <c:crosses val="autoZero"/>
        <c:auto val="1"/>
        <c:lblAlgn val="ctr"/>
        <c:lblOffset val="100"/>
        <c:noMultiLvlLbl val="0"/>
      </c:catAx>
      <c:valAx>
        <c:axId val="470262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47026166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CO"/>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PARTE DEL CUERPO AFECTADA - ABRIL</a:t>
            </a:r>
            <a:r>
              <a:rPr lang="es-ES" b="1" baseline="0"/>
              <a:t> </a:t>
            </a:r>
            <a:endParaRPr lang="es-E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9900"/>
              </a:solidFill>
              <a:ln>
                <a:noFill/>
              </a:ln>
              <a:effectLst/>
            </c:spPr>
            <c:extLst>
              <c:ext xmlns:c16="http://schemas.microsoft.com/office/drawing/2014/chart" uri="{C3380CC4-5D6E-409C-BE32-E72D297353CC}">
                <c16:uniqueId val="{00000001-C29E-4CE7-9F2E-C23798FA5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'9. Parte del cuerpo'!$I$2:$I$11</c15:sqref>
                  </c15:fullRef>
                </c:ext>
              </c:extLst>
              <c:f>'9. Parte del cuerpo'!$I$5</c:f>
              <c:strCache>
                <c:ptCount val="1"/>
                <c:pt idx="0">
                  <c:v>Miembros superiores</c:v>
                </c:pt>
              </c:strCache>
            </c:strRef>
          </c:cat>
          <c:val>
            <c:numRef>
              <c:extLst>
                <c:ext xmlns:c15="http://schemas.microsoft.com/office/drawing/2012/chart" uri="{02D57815-91ED-43cb-92C2-25804820EDAC}">
                  <c15:fullRef>
                    <c15:sqref>'9. Parte del cuerpo'!$J$2:$J$11</c15:sqref>
                  </c15:fullRef>
                </c:ext>
              </c:extLst>
              <c:f>'9. Parte del cuerpo'!$J$5</c:f>
              <c:numCache>
                <c:formatCode>General</c:formatCode>
                <c:ptCount val="1"/>
                <c:pt idx="0">
                  <c:v>1</c:v>
                </c:pt>
              </c:numCache>
            </c:numRef>
          </c:val>
          <c:extLst>
            <c:ext xmlns:c16="http://schemas.microsoft.com/office/drawing/2014/chart" uri="{C3380CC4-5D6E-409C-BE32-E72D297353CC}">
              <c16:uniqueId val="{00000000-C29E-4CE7-9F2E-C23798FA508F}"/>
            </c:ext>
          </c:extLst>
        </c:ser>
        <c:dLbls>
          <c:dLblPos val="outEnd"/>
          <c:showLegendKey val="0"/>
          <c:showVal val="1"/>
          <c:showCatName val="0"/>
          <c:showSerName val="0"/>
          <c:showPercent val="0"/>
          <c:showBubbleSize val="0"/>
        </c:dLbls>
        <c:gapWidth val="182"/>
        <c:axId val="777161183"/>
        <c:axId val="777177983"/>
      </c:barChart>
      <c:catAx>
        <c:axId val="77716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77177983"/>
        <c:crosses val="autoZero"/>
        <c:auto val="1"/>
        <c:lblAlgn val="ctr"/>
        <c:lblOffset val="100"/>
        <c:noMultiLvlLbl val="0"/>
      </c:catAx>
      <c:valAx>
        <c:axId val="77717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77161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PARTE DEL CUERPO AFECTADA - AGOSTO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'[2]9. Parte del cuerpo'!$B$71</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'[2]9. Parte del cuerpo'!$A$72:$A$83</c15:sqref>
                  </c15:fullRef>
                </c:ext>
              </c:extLst>
              <c:f>('[2]9. Parte del cuerpo'!$A$72,'[2]9. Parte del cuerpo'!$A$78)</c:f>
              <c:strCache>
                <c:ptCount val="2"/>
                <c:pt idx="0">
                  <c:v>Manos</c:v>
                </c:pt>
                <c:pt idx="1">
                  <c:v>Tronco (incluye espalda, columna vertebral, medula espinal, pelvis)</c:v>
                </c:pt>
              </c:strCache>
            </c:strRef>
          </c:cat>
          <c:val>
            <c:numRef>
              <c:extLst>
                <c:ext xmlns:c15="http://schemas.microsoft.com/office/drawing/2012/chart" uri="{02D57815-91ED-43cb-92C2-25804820EDAC}">
                  <c15:fullRef>
                    <c15:sqref>'[2]9. Parte del cuerpo'!$B$72:$B$83</c15:sqref>
                  </c15:fullRef>
                </c:ext>
              </c:extLst>
              <c:f>('[2]9. Parte del cuerpo'!$B$72,'[2]9. Parte del cuerpo'!$B$78)</c:f>
              <c:numCache>
                <c:formatCode>General</c:formatCode>
                <c:ptCount val="2"/>
                <c:pt idx="0">
                  <c:v>3</c:v>
                </c:pt>
                <c:pt idx="1">
                  <c:v>1</c:v>
                </c:pt>
              </c:numCache>
            </c:numRef>
          </c:val>
          <c:extLst>
            <c:ext xmlns:c16="http://schemas.microsoft.com/office/drawing/2014/chart" uri="{C3380CC4-5D6E-409C-BE32-E72D297353CC}">
              <c16:uniqueId val="{00000000-2FC2-4F51-8EDB-408EB7FBD5E5}"/>
            </c:ext>
          </c:extLst>
        </c:ser>
        <c:dLbls>
          <c:dLblPos val="inEnd"/>
          <c:showLegendKey val="0"/>
          <c:showVal val="1"/>
          <c:showCatName val="0"/>
          <c:showSerName val="0"/>
          <c:showPercent val="0"/>
          <c:showBubbleSize val="0"/>
        </c:dLbls>
        <c:gapWidth val="182"/>
        <c:axId val="470256568"/>
        <c:axId val="470258920"/>
      </c:barChart>
      <c:catAx>
        <c:axId val="470256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8920"/>
        <c:crosses val="autoZero"/>
        <c:auto val="1"/>
        <c:lblAlgn val="ctr"/>
        <c:lblOffset val="100"/>
        <c:noMultiLvlLbl val="0"/>
      </c:catAx>
      <c:valAx>
        <c:axId val="470258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0256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s-CO" sz="1200" b="1"/>
              <a:t>AGENTE DE LESION - ENERO</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lesion'!$B$1</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lesion'!$A$2:$A$9</c15:sqref>
                  </c15:fullRef>
                </c:ext>
              </c:extLst>
              <c:f>'10. Agente de lesion'!$A$8</c:f>
              <c:strCache>
                <c:ptCount val="1"/>
                <c:pt idx="0">
                  <c:v>Otros agentes no clasificados</c:v>
                </c:pt>
              </c:strCache>
            </c:strRef>
          </c:cat>
          <c:val>
            <c:numRef>
              <c:extLst>
                <c:ext xmlns:c15="http://schemas.microsoft.com/office/drawing/2012/chart" uri="{02D57815-91ED-43cb-92C2-25804820EDAC}">
                  <c15:fullRef>
                    <c15:sqref>'10. Agente de lesion'!$B$2:$B$9</c15:sqref>
                  </c15:fullRef>
                </c:ext>
              </c:extLst>
              <c:f>'10. Agente de lesion'!$B$8</c:f>
              <c:numCache>
                <c:formatCode>General</c:formatCode>
                <c:ptCount val="1"/>
                <c:pt idx="0">
                  <c:v>1</c:v>
                </c:pt>
              </c:numCache>
            </c:numRef>
          </c:val>
          <c:extLst>
            <c:ext xmlns:c16="http://schemas.microsoft.com/office/drawing/2014/chart" uri="{C3380CC4-5D6E-409C-BE32-E72D297353CC}">
              <c16:uniqueId val="{00000000-1A84-4F72-BAB0-81CAC7AE3B0B}"/>
            </c:ext>
          </c:extLst>
        </c:ser>
        <c:dLbls>
          <c:dLblPos val="outEnd"/>
          <c:showLegendKey val="0"/>
          <c:showVal val="1"/>
          <c:showCatName val="0"/>
          <c:showSerName val="0"/>
          <c:showPercent val="0"/>
          <c:showBubbleSize val="0"/>
        </c:dLbls>
        <c:gapWidth val="219"/>
        <c:axId val="360583152"/>
        <c:axId val="360583936"/>
      </c:barChart>
      <c:catAx>
        <c:axId val="36058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83936"/>
        <c:crosses val="autoZero"/>
        <c:auto val="1"/>
        <c:lblAlgn val="ctr"/>
        <c:lblOffset val="100"/>
        <c:noMultiLvlLbl val="0"/>
      </c:catAx>
      <c:valAx>
        <c:axId val="36058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83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AGENTE DE LESION - ABRIL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48045844269466315"/>
          <c:y val="0.17171296296296296"/>
          <c:w val="0.48709011373578304"/>
          <c:h val="0.72088764946048411"/>
        </c:manualLayout>
      </c:layout>
      <c:barChart>
        <c:barDir val="bar"/>
        <c:grouping val="clustered"/>
        <c:varyColors val="0"/>
        <c:ser>
          <c:idx val="0"/>
          <c:order val="0"/>
          <c:tx>
            <c:strRef>
              <c:f>'10. Agente de lesion'!$B$11</c:f>
              <c:strCache>
                <c:ptCount val="1"/>
                <c:pt idx="0">
                  <c:v>CANTIDAD</c:v>
                </c:pt>
              </c:strCache>
            </c:strRef>
          </c:tx>
          <c:spPr>
            <a:solidFill>
              <a:schemeClr val="accent1"/>
            </a:solidFill>
            <a:ln>
              <a:noFill/>
            </a:ln>
            <a:effectLst/>
          </c:spPr>
          <c:invertIfNegative val="0"/>
          <c:dPt>
            <c:idx val="0"/>
            <c:invertIfNegative val="0"/>
            <c:bubble3D val="0"/>
            <c:spPr>
              <a:solidFill>
                <a:srgbClr val="009900"/>
              </a:solidFill>
              <a:ln>
                <a:noFill/>
              </a:ln>
              <a:effectLst/>
            </c:spPr>
            <c:extLst>
              <c:ext xmlns:c16="http://schemas.microsoft.com/office/drawing/2014/chart" uri="{C3380CC4-5D6E-409C-BE32-E72D297353CC}">
                <c16:uniqueId val="{00000001-3826-4B0B-B707-510E21A52CCA}"/>
              </c:ext>
            </c:extLst>
          </c:dPt>
          <c:dPt>
            <c:idx val="1"/>
            <c:invertIfNegative val="0"/>
            <c:bubble3D val="0"/>
            <c:spPr>
              <a:solidFill>
                <a:srgbClr val="009900"/>
              </a:solidFill>
              <a:ln>
                <a:noFill/>
              </a:ln>
              <a:effectLst/>
            </c:spPr>
            <c:extLst>
              <c:ext xmlns:c16="http://schemas.microsoft.com/office/drawing/2014/chart" uri="{C3380CC4-5D6E-409C-BE32-E72D297353CC}">
                <c16:uniqueId val="{00000003-3826-4B0B-B707-510E21A52C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lesion'!$A$12:$A$19</c15:sqref>
                  </c15:fullRef>
                </c:ext>
              </c:extLst>
              <c:f>('10. Agente de lesion'!$A$13,'10. Agente de lesion'!$A$16)</c:f>
              <c:strCache>
                <c:ptCount val="2"/>
                <c:pt idx="0">
                  <c:v>Ambiente de trabajo (incluye superficies de tránsito y de trabajo, muebles, tejados, en el exterior, interior o subterráneos)</c:v>
                </c:pt>
                <c:pt idx="1">
                  <c:v>Maquinas y/o equipos</c:v>
                </c:pt>
              </c:strCache>
            </c:strRef>
          </c:cat>
          <c:val>
            <c:numRef>
              <c:extLst>
                <c:ext xmlns:c15="http://schemas.microsoft.com/office/drawing/2012/chart" uri="{02D57815-91ED-43cb-92C2-25804820EDAC}">
                  <c15:fullRef>
                    <c15:sqref>'10. Agente de lesion'!$B$12:$B$19</c15:sqref>
                  </c15:fullRef>
                </c:ext>
              </c:extLst>
              <c:f>('10. Agente de lesion'!$B$13,'10. Agente de lesion'!$B$16)</c:f>
              <c:numCache>
                <c:formatCode>General</c:formatCode>
                <c:ptCount val="2"/>
                <c:pt idx="0">
                  <c:v>1</c:v>
                </c:pt>
                <c:pt idx="1">
                  <c:v>1</c:v>
                </c:pt>
              </c:numCache>
            </c:numRef>
          </c:val>
          <c:extLst>
            <c:ext xmlns:c16="http://schemas.microsoft.com/office/drawing/2014/chart" uri="{C3380CC4-5D6E-409C-BE32-E72D297353CC}">
              <c16:uniqueId val="{00000004-3826-4B0B-B707-510E21A52CCA}"/>
            </c:ext>
          </c:extLst>
        </c:ser>
        <c:dLbls>
          <c:dLblPos val="inEnd"/>
          <c:showLegendKey val="0"/>
          <c:showVal val="1"/>
          <c:showCatName val="0"/>
          <c:showSerName val="0"/>
          <c:showPercent val="0"/>
          <c:showBubbleSize val="0"/>
        </c:dLbls>
        <c:gapWidth val="182"/>
        <c:axId val="360578056"/>
        <c:axId val="360577272"/>
      </c:barChart>
      <c:catAx>
        <c:axId val="36057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77272"/>
        <c:crosses val="autoZero"/>
        <c:auto val="1"/>
        <c:lblAlgn val="ctr"/>
        <c:lblOffset val="100"/>
        <c:noMultiLvlLbl val="0"/>
      </c:catAx>
      <c:valAx>
        <c:axId val="360577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78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AGENTE DE LESION - MAYO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lesion'!$B$21</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lesion'!$A$22:$A$29</c15:sqref>
                  </c15:fullRef>
                </c:ext>
              </c:extLst>
              <c:f>('10. Agente de lesion'!$A$23:$A$25,'10. Agente de lesion'!$A$27)</c:f>
              <c:strCache>
                <c:ptCount val="4"/>
                <c:pt idx="0">
                  <c:v>Ambiente de trabajo (incluye superficies de tránsito y de trabajo, muebles, tejados, en el exterior, interior o subterráneos)</c:v>
                </c:pt>
                <c:pt idx="1">
                  <c:v>Animales (vivos o productos animales)</c:v>
                </c:pt>
                <c:pt idx="2">
                  <c:v>Herramientas, implementos o utensilios</c:v>
                </c:pt>
                <c:pt idx="3">
                  <c:v>Materiales o sustancias</c:v>
                </c:pt>
              </c:strCache>
            </c:strRef>
          </c:cat>
          <c:val>
            <c:numRef>
              <c:extLst>
                <c:ext xmlns:c15="http://schemas.microsoft.com/office/drawing/2012/chart" uri="{02D57815-91ED-43cb-92C2-25804820EDAC}">
                  <c15:fullRef>
                    <c15:sqref>'10. Agente de lesion'!$B$22:$B$29</c15:sqref>
                  </c15:fullRef>
                </c:ext>
              </c:extLst>
              <c:f>('10. Agente de lesion'!$B$23:$B$25,'10. Agente de lesion'!$B$27)</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C697-4564-9504-0843DE7F073B}"/>
            </c:ext>
          </c:extLst>
        </c:ser>
        <c:dLbls>
          <c:dLblPos val="inEnd"/>
          <c:showLegendKey val="0"/>
          <c:showVal val="1"/>
          <c:showCatName val="0"/>
          <c:showSerName val="0"/>
          <c:showPercent val="0"/>
          <c:showBubbleSize val="0"/>
        </c:dLbls>
        <c:gapWidth val="182"/>
        <c:axId val="360577664"/>
        <c:axId val="360578448"/>
      </c:barChart>
      <c:catAx>
        <c:axId val="36057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78448"/>
        <c:crosses val="autoZero"/>
        <c:auto val="1"/>
        <c:lblAlgn val="ctr"/>
        <c:lblOffset val="100"/>
        <c:noMultiLvlLbl val="0"/>
      </c:catAx>
      <c:valAx>
        <c:axId val="360578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7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AGENTE DE LESION - JUNIO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lesion'!$B$32</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lesion'!$A$33:$A$40</c15:sqref>
                  </c15:fullRef>
                </c:ext>
              </c:extLst>
              <c:f>('10. Agente de lesion'!$A$34,'10. Agente de lesion'!$A$36:$A$37)</c:f>
              <c:strCache>
                <c:ptCount val="3"/>
                <c:pt idx="0">
                  <c:v>Ambiente de trabajo (incluye superficies de tránsito y de trabajo, muebles, tejados, en el exterior, interior o subterráneos)</c:v>
                </c:pt>
                <c:pt idx="1">
                  <c:v>Herramientas, implementos o utensilios</c:v>
                </c:pt>
                <c:pt idx="2">
                  <c:v>Maquinas y/o equipos</c:v>
                </c:pt>
              </c:strCache>
            </c:strRef>
          </c:cat>
          <c:val>
            <c:numRef>
              <c:extLst>
                <c:ext xmlns:c15="http://schemas.microsoft.com/office/drawing/2012/chart" uri="{02D57815-91ED-43cb-92C2-25804820EDAC}">
                  <c15:fullRef>
                    <c15:sqref>'10. Agente de lesion'!$B$33:$B$40</c15:sqref>
                  </c15:fullRef>
                </c:ext>
              </c:extLst>
              <c:f>('10. Agente de lesion'!$B$34,'10. Agente de lesion'!$B$36:$B$37)</c:f>
              <c:numCache>
                <c:formatCode>General</c:formatCode>
                <c:ptCount val="3"/>
                <c:pt idx="0">
                  <c:v>1</c:v>
                </c:pt>
                <c:pt idx="1">
                  <c:v>2</c:v>
                </c:pt>
                <c:pt idx="2">
                  <c:v>2</c:v>
                </c:pt>
              </c:numCache>
            </c:numRef>
          </c:val>
          <c:extLst>
            <c:ext xmlns:c16="http://schemas.microsoft.com/office/drawing/2014/chart" uri="{C3380CC4-5D6E-409C-BE32-E72D297353CC}">
              <c16:uniqueId val="{00000000-ADF0-440C-937C-66E1F6B9DF3D}"/>
            </c:ext>
          </c:extLst>
        </c:ser>
        <c:dLbls>
          <c:dLblPos val="inEnd"/>
          <c:showLegendKey val="0"/>
          <c:showVal val="1"/>
          <c:showCatName val="0"/>
          <c:showSerName val="0"/>
          <c:showPercent val="0"/>
          <c:showBubbleSize val="0"/>
        </c:dLbls>
        <c:gapWidth val="182"/>
        <c:axId val="360581192"/>
        <c:axId val="360579232"/>
      </c:barChart>
      <c:catAx>
        <c:axId val="360581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79232"/>
        <c:crosses val="autoZero"/>
        <c:auto val="1"/>
        <c:lblAlgn val="ctr"/>
        <c:lblOffset val="100"/>
        <c:noMultiLvlLbl val="0"/>
      </c:catAx>
      <c:valAx>
        <c:axId val="36057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81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AGENTE DE LESION - JULIO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lesion'!$B$43</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lesion'!$A$44:$A$51</c15:sqref>
                  </c15:fullRef>
                </c:ext>
              </c:extLst>
              <c:f>'10. Agente de lesion'!$A$47</c:f>
              <c:strCache>
                <c:ptCount val="1"/>
                <c:pt idx="0">
                  <c:v>Herramientas, implementos o utensilios</c:v>
                </c:pt>
              </c:strCache>
            </c:strRef>
          </c:cat>
          <c:val>
            <c:numRef>
              <c:extLst>
                <c:ext xmlns:c15="http://schemas.microsoft.com/office/drawing/2012/chart" uri="{02D57815-91ED-43cb-92C2-25804820EDAC}">
                  <c15:fullRef>
                    <c15:sqref>'10. Agente de lesion'!$B$44:$B$51</c15:sqref>
                  </c15:fullRef>
                </c:ext>
              </c:extLst>
              <c:f>'10. Agente de lesion'!$B$47</c:f>
              <c:numCache>
                <c:formatCode>General</c:formatCode>
                <c:ptCount val="1"/>
                <c:pt idx="0">
                  <c:v>1</c:v>
                </c:pt>
              </c:numCache>
            </c:numRef>
          </c:val>
          <c:extLst>
            <c:ext xmlns:c16="http://schemas.microsoft.com/office/drawing/2014/chart" uri="{C3380CC4-5D6E-409C-BE32-E72D297353CC}">
              <c16:uniqueId val="{00000000-1683-4F4D-B331-4106FDF8530E}"/>
            </c:ext>
          </c:extLst>
        </c:ser>
        <c:dLbls>
          <c:dLblPos val="inEnd"/>
          <c:showLegendKey val="0"/>
          <c:showVal val="1"/>
          <c:showCatName val="0"/>
          <c:showSerName val="0"/>
          <c:showPercent val="0"/>
          <c:showBubbleSize val="0"/>
        </c:dLbls>
        <c:gapWidth val="182"/>
        <c:axId val="360579624"/>
        <c:axId val="360580016"/>
      </c:barChart>
      <c:catAx>
        <c:axId val="360579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80016"/>
        <c:crosses val="autoZero"/>
        <c:auto val="1"/>
        <c:lblAlgn val="ctr"/>
        <c:lblOffset val="100"/>
        <c:noMultiLvlLbl val="0"/>
      </c:catAx>
      <c:valAx>
        <c:axId val="36058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0579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AGENTE DE LESION - AT - SEPTIEMBRE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lesion'!$B$65</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lesion'!$A$66:$A$73</c15:sqref>
                  </c15:fullRef>
                </c:ext>
              </c:extLst>
              <c:f>'10. Agente de lesion'!$A$67</c:f>
              <c:strCache>
                <c:ptCount val="1"/>
                <c:pt idx="0">
                  <c:v>Ambiente de trabajo (incluye superficies de tránsito y de trabajo, muebles, tejados, en el exterior, interior o subterráneos)</c:v>
                </c:pt>
              </c:strCache>
            </c:strRef>
          </c:cat>
          <c:val>
            <c:numRef>
              <c:extLst>
                <c:ext xmlns:c15="http://schemas.microsoft.com/office/drawing/2012/chart" uri="{02D57815-91ED-43cb-92C2-25804820EDAC}">
                  <c15:fullRef>
                    <c15:sqref>'10. Agente de lesion'!$B$66:$B$73</c15:sqref>
                  </c15:fullRef>
                </c:ext>
              </c:extLst>
              <c:f>'10. Agente de lesion'!$B$67</c:f>
              <c:numCache>
                <c:formatCode>General</c:formatCode>
                <c:ptCount val="1"/>
                <c:pt idx="0">
                  <c:v>3</c:v>
                </c:pt>
              </c:numCache>
            </c:numRef>
          </c:val>
          <c:extLst>
            <c:ext xmlns:c16="http://schemas.microsoft.com/office/drawing/2014/chart" uri="{C3380CC4-5D6E-409C-BE32-E72D297353CC}">
              <c16:uniqueId val="{00000000-C298-4838-9537-3DFA5115E6DE}"/>
            </c:ext>
          </c:extLst>
        </c:ser>
        <c:dLbls>
          <c:dLblPos val="inEnd"/>
          <c:showLegendKey val="0"/>
          <c:showVal val="1"/>
          <c:showCatName val="0"/>
          <c:showSerName val="0"/>
          <c:showPercent val="0"/>
          <c:showBubbleSize val="0"/>
        </c:dLbls>
        <c:gapWidth val="182"/>
        <c:axId val="406303504"/>
        <c:axId val="406308208"/>
      </c:barChart>
      <c:catAx>
        <c:axId val="40630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8208"/>
        <c:crosses val="autoZero"/>
        <c:auto val="1"/>
        <c:lblAlgn val="ctr"/>
        <c:lblOffset val="100"/>
        <c:noMultiLvlLbl val="0"/>
      </c:catAx>
      <c:valAx>
        <c:axId val="40630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3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AGENTE DE LESION - AT - OCTUBRE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lesion'!$B$76</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lesion'!$A$77:$A$84</c15:sqref>
                  </c15:fullRef>
                </c:ext>
              </c:extLst>
              <c:f>('10. Agente de lesion'!$A$78,'10. Agente de lesion'!$A$80)</c:f>
              <c:strCache>
                <c:ptCount val="2"/>
                <c:pt idx="0">
                  <c:v>Ambiente de trabajo (incluye superficies de tránsito y de trabajo, muebles, tejados, en el exterior, interior o subterráneos)</c:v>
                </c:pt>
                <c:pt idx="1">
                  <c:v>Herramientas, implementos o utensilios</c:v>
                </c:pt>
              </c:strCache>
            </c:strRef>
          </c:cat>
          <c:val>
            <c:numRef>
              <c:extLst>
                <c:ext xmlns:c15="http://schemas.microsoft.com/office/drawing/2012/chart" uri="{02D57815-91ED-43cb-92C2-25804820EDAC}">
                  <c15:fullRef>
                    <c15:sqref>'10. Agente de lesion'!$B$77:$B$84</c15:sqref>
                  </c15:fullRef>
                </c:ext>
              </c:extLst>
              <c:f>('10. Agente de lesion'!$B$78,'10. Agente de lesion'!$B$80)</c:f>
              <c:numCache>
                <c:formatCode>General</c:formatCode>
                <c:ptCount val="2"/>
                <c:pt idx="0">
                  <c:v>1</c:v>
                </c:pt>
                <c:pt idx="1">
                  <c:v>2</c:v>
                </c:pt>
              </c:numCache>
            </c:numRef>
          </c:val>
          <c:extLst>
            <c:ext xmlns:c16="http://schemas.microsoft.com/office/drawing/2014/chart" uri="{C3380CC4-5D6E-409C-BE32-E72D297353CC}">
              <c16:uniqueId val="{00000000-EC40-4C3A-8812-90205158F9C4}"/>
            </c:ext>
          </c:extLst>
        </c:ser>
        <c:dLbls>
          <c:dLblPos val="inEnd"/>
          <c:showLegendKey val="0"/>
          <c:showVal val="1"/>
          <c:showCatName val="0"/>
          <c:showSerName val="0"/>
          <c:showPercent val="0"/>
          <c:showBubbleSize val="0"/>
        </c:dLbls>
        <c:gapWidth val="182"/>
        <c:axId val="406307816"/>
        <c:axId val="406304288"/>
      </c:barChart>
      <c:catAx>
        <c:axId val="406307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4288"/>
        <c:crosses val="autoZero"/>
        <c:auto val="1"/>
        <c:lblAlgn val="ctr"/>
        <c:lblOffset val="100"/>
        <c:noMultiLvlLbl val="0"/>
      </c:catAx>
      <c:valAx>
        <c:axId val="40630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baseline="0">
                <a:effectLst/>
              </a:rPr>
              <a:t>AGENTE DE LESION - AT - NOVIEMBRE</a:t>
            </a:r>
            <a:endParaRPr lang="es-CO"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barChart>
        <c:barDir val="bar"/>
        <c:grouping val="clustered"/>
        <c:varyColors val="0"/>
        <c:ser>
          <c:idx val="0"/>
          <c:order val="0"/>
          <c:tx>
            <c:strRef>
              <c:f>'10. Agente de lesion'!$B$87</c:f>
              <c:strCache>
                <c:ptCount val="1"/>
                <c:pt idx="0">
                  <c:v>CANTIDAD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'10. Agente de lesion'!$A$88:$A$95</c15:sqref>
                  </c15:fullRef>
                </c:ext>
              </c:extLst>
              <c:f>('10. Agente de lesion'!$A$88:$A$89,'10. Agente de lesion'!$A$91:$A$93)</c:f>
              <c:strCache>
                <c:ptCount val="5"/>
                <c:pt idx="0">
                  <c:v>Aparatos</c:v>
                </c:pt>
                <c:pt idx="1">
                  <c:v>Ambiente de trabajo (incluye superficies de tránsito y de trabajo, muebles, tejados, en el exterior, interior o subterráneos)</c:v>
                </c:pt>
                <c:pt idx="2">
                  <c:v>Herramientas, implementos o utensilios</c:v>
                </c:pt>
                <c:pt idx="3">
                  <c:v>Maquinas y/o equipos</c:v>
                </c:pt>
                <c:pt idx="4">
                  <c:v>Materiales o sustancias</c:v>
                </c:pt>
              </c:strCache>
            </c:strRef>
          </c:cat>
          <c:val>
            <c:numRef>
              <c:extLst>
                <c:ext xmlns:c15="http://schemas.microsoft.com/office/drawing/2012/chart" uri="{02D57815-91ED-43cb-92C2-25804820EDAC}">
                  <c15:fullRef>
                    <c15:sqref>'10. Agente de lesion'!$B$88:$B$95</c15:sqref>
                  </c15:fullRef>
                </c:ext>
              </c:extLst>
              <c:f>('10. Agente de lesion'!$B$88:$B$89,'10. Agente de lesion'!$B$91:$B$93)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7BED-4628-9F42-A09724364BD9}"/>
            </c:ext>
          </c:extLst>
        </c:ser>
        <c:dLbls>
          <c:dLblPos val="inEnd"/>
          <c:showLegendKey val="0"/>
          <c:showVal val="1"/>
          <c:showCatName val="0"/>
          <c:showSerName val="0"/>
          <c:showPercent val="0"/>
          <c:showBubbleSize val="0"/>
        </c:dLbls>
        <c:gapWidth val="65"/>
        <c:axId val="406307032"/>
        <c:axId val="406305072"/>
      </c:barChart>
      <c:catAx>
        <c:axId val="4063070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406305072"/>
        <c:crosses val="autoZero"/>
        <c:auto val="1"/>
        <c:lblAlgn val="ctr"/>
        <c:lblOffset val="100"/>
        <c:noMultiLvlLbl val="0"/>
      </c:catAx>
      <c:valAx>
        <c:axId val="4063050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40630703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CO"/>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AGENTE DE LESION - ABRIL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'10. Agente de lesion'!$J$1:$J$4</c:f>
              <c:strCache>
                <c:ptCount val="4"/>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lesion'!$I$5:$I$8</c15:sqref>
                  </c15:fullRef>
                </c:ext>
              </c:extLst>
              <c:f>'10. Agente de lesion'!$I$5</c:f>
              <c:strCache>
                <c:ptCount val="1"/>
                <c:pt idx="0">
                  <c:v>Herramientas, implementos o utensilios</c:v>
                </c:pt>
              </c:strCache>
            </c:strRef>
          </c:cat>
          <c:val>
            <c:numRef>
              <c:extLst>
                <c:ext xmlns:c15="http://schemas.microsoft.com/office/drawing/2012/chart" uri="{02D57815-91ED-43cb-92C2-25804820EDAC}">
                  <c15:fullRef>
                    <c15:sqref>'10. Agente de lesion'!$J$5:$J$8</c15:sqref>
                  </c15:fullRef>
                </c:ext>
              </c:extLst>
              <c:f>'10. Agente de lesion'!$J$5</c:f>
              <c:numCache>
                <c:formatCode>General</c:formatCode>
                <c:ptCount val="1"/>
                <c:pt idx="0">
                  <c:v>1</c:v>
                </c:pt>
              </c:numCache>
            </c:numRef>
          </c:val>
          <c:extLst>
            <c:ext xmlns:c16="http://schemas.microsoft.com/office/drawing/2014/chart" uri="{C3380CC4-5D6E-409C-BE32-E72D297353CC}">
              <c16:uniqueId val="{00000000-09D6-43F6-AFCD-E85A19B44FCA}"/>
            </c:ext>
          </c:extLst>
        </c:ser>
        <c:dLbls>
          <c:dLblPos val="outEnd"/>
          <c:showLegendKey val="0"/>
          <c:showVal val="1"/>
          <c:showCatName val="0"/>
          <c:showSerName val="0"/>
          <c:showPercent val="0"/>
          <c:showBubbleSize val="0"/>
        </c:dLbls>
        <c:gapWidth val="182"/>
        <c:axId val="777189503"/>
        <c:axId val="777188543"/>
      </c:barChart>
      <c:catAx>
        <c:axId val="77718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77188543"/>
        <c:crosses val="autoZero"/>
        <c:auto val="1"/>
        <c:lblAlgn val="ctr"/>
        <c:lblOffset val="100"/>
        <c:noMultiLvlLbl val="0"/>
      </c:catAx>
      <c:valAx>
        <c:axId val="77718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77189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AGENTE</a:t>
            </a:r>
            <a:r>
              <a:rPr lang="es-ES" baseline="0"/>
              <a:t> DE LESION AGOSTO</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'10. Agente de lesion'!$B$54</c:f>
              <c:strCache>
                <c:ptCount val="1"/>
                <c:pt idx="0">
                  <c:v>CANTIDAD</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'10. Agente de lesion'!$A$55:$A$61</c15:sqref>
                  </c15:fullRef>
                </c:ext>
              </c:extLst>
              <c:f>('10. Agente de lesion'!$A$56,'10. Agente de lesion'!$A$58,'10. Agente de lesion'!$A$60:$A$61)</c:f>
              <c:strCache>
                <c:ptCount val="4"/>
                <c:pt idx="0">
                  <c:v>Ambiente de trabajo (incluye superficies de tránsito y de trabajo, muebles, tejados, en el exterior, interior o subterráneos)</c:v>
                </c:pt>
                <c:pt idx="1">
                  <c:v>Herramientas, implementos o utensilios</c:v>
                </c:pt>
                <c:pt idx="2">
                  <c:v>Materiales o sustancias</c:v>
                </c:pt>
                <c:pt idx="3">
                  <c:v>Otros agentes no clasificados</c:v>
                </c:pt>
              </c:strCache>
            </c:strRef>
          </c:cat>
          <c:val>
            <c:numRef>
              <c:extLst>
                <c:ext xmlns:c15="http://schemas.microsoft.com/office/drawing/2012/chart" uri="{02D57815-91ED-43cb-92C2-25804820EDAC}">
                  <c15:fullRef>
                    <c15:sqref>'10. Agente de lesion'!$B$55:$B$61</c15:sqref>
                  </c15:fullRef>
                </c:ext>
              </c:extLst>
              <c:f>('10. Agente de lesion'!$B$56,'10. Agente de lesion'!$B$58,'10. Agente de lesion'!$B$60:$B$61)</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FABB-4F76-8929-58BA2BE41CC6}"/>
            </c:ext>
          </c:extLst>
        </c:ser>
        <c:dLbls>
          <c:dLblPos val="outEnd"/>
          <c:showLegendKey val="0"/>
          <c:showVal val="1"/>
          <c:showCatName val="0"/>
          <c:showSerName val="0"/>
          <c:showPercent val="0"/>
          <c:showBubbleSize val="0"/>
        </c:dLbls>
        <c:gapWidth val="182"/>
        <c:axId val="634674384"/>
        <c:axId val="330778992"/>
      </c:barChart>
      <c:catAx>
        <c:axId val="63467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30778992"/>
        <c:crosses val="autoZero"/>
        <c:auto val="1"/>
        <c:lblAlgn val="ctr"/>
        <c:lblOffset val="100"/>
        <c:noMultiLvlLbl val="0"/>
      </c:catAx>
      <c:valAx>
        <c:axId val="330778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467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1"/>
              <a:t>TIPO</a:t>
            </a:r>
            <a:r>
              <a:rPr lang="es-CO" sz="1400" b="1" baseline="0"/>
              <a:t> DE LESION - AT ENERO</a:t>
            </a:r>
            <a:endParaRPr lang="es-CO" sz="1400" b="1"/>
          </a:p>
        </c:rich>
      </c:tx>
      <c:layout>
        <c:manualLayout>
          <c:xMode val="edge"/>
          <c:yMode val="edge"/>
          <c:x val="0.37890625385439791"/>
          <c:y val="3.105061930093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lesion'!$A$6:$A$8</c15:sqref>
                  </c15:fullRef>
                </c:ext>
              </c:extLst>
              <c:f>'8. Tipo de lesion'!$A$7</c:f>
              <c:strCache>
                <c:ptCount val="1"/>
                <c:pt idx="0">
                  <c:v>Trauma superficial (incluye rasguño, punción o pinchazo y lesión en ojo por cuerpo extraño)</c:v>
                </c:pt>
              </c:strCache>
            </c:strRef>
          </c:cat>
          <c:val>
            <c:numRef>
              <c:extLst>
                <c:ext xmlns:c15="http://schemas.microsoft.com/office/drawing/2012/chart" uri="{02D57815-91ED-43cb-92C2-25804820EDAC}">
                  <c15:fullRef>
                    <c15:sqref>'8. Tipo de lesion'!$B$6:$B$8</c15:sqref>
                  </c15:fullRef>
                </c:ext>
              </c:extLst>
              <c:f>'8. Tipo de lesion'!$B$7</c:f>
              <c:numCache>
                <c:formatCode>General</c:formatCode>
                <c:ptCount val="1"/>
                <c:pt idx="0">
                  <c:v>1</c:v>
                </c:pt>
              </c:numCache>
            </c:numRef>
          </c:val>
          <c:extLst>
            <c:ext xmlns:c16="http://schemas.microsoft.com/office/drawing/2014/chart" uri="{C3380CC4-5D6E-409C-BE32-E72D297353CC}">
              <c16:uniqueId val="{00000000-F5DF-4D78-A136-71880803EA3F}"/>
            </c:ext>
          </c:extLst>
        </c:ser>
        <c:dLbls>
          <c:dLblPos val="outEnd"/>
          <c:showLegendKey val="0"/>
          <c:showVal val="1"/>
          <c:showCatName val="0"/>
          <c:showSerName val="0"/>
          <c:showPercent val="0"/>
          <c:showBubbleSize val="0"/>
        </c:dLbls>
        <c:gapWidth val="182"/>
        <c:axId val="478101040"/>
        <c:axId val="478102216"/>
      </c:barChart>
      <c:catAx>
        <c:axId val="47810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102216"/>
        <c:crosses val="autoZero"/>
        <c:auto val="1"/>
        <c:lblAlgn val="ctr"/>
        <c:lblOffset val="100"/>
        <c:noMultiLvlLbl val="0"/>
      </c:catAx>
      <c:valAx>
        <c:axId val="478102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101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TIPO DE LESION - AT ABRIL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'8. Tipo de lesion'!$B$11:$B$12</c:f>
              <c:strCache>
                <c:ptCount val="2"/>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lesion'!$A$13:$A$19</c15:sqref>
                  </c15:fullRef>
                </c:ext>
              </c:extLst>
              <c:f>'8. Tipo de lesion'!$A$16</c:f>
              <c:strCache>
                <c:ptCount val="1"/>
                <c:pt idx="0">
                  <c:v>Torcedura, esguince, desgarro muscular, hernia o laceración de musculo o tendón sin herida (25)</c:v>
                </c:pt>
              </c:strCache>
            </c:strRef>
          </c:cat>
          <c:val>
            <c:numRef>
              <c:extLst>
                <c:ext xmlns:c15="http://schemas.microsoft.com/office/drawing/2012/chart" uri="{02D57815-91ED-43cb-92C2-25804820EDAC}">
                  <c15:fullRef>
                    <c15:sqref>'8. Tipo de lesion'!$B$13:$B$19</c15:sqref>
                  </c15:fullRef>
                </c:ext>
              </c:extLst>
              <c:f>'8. Tipo de lesion'!$B$16</c:f>
              <c:numCache>
                <c:formatCode>General</c:formatCode>
                <c:ptCount val="1"/>
                <c:pt idx="0">
                  <c:v>1</c:v>
                </c:pt>
              </c:numCache>
            </c:numRef>
          </c:val>
          <c:extLst>
            <c:ext xmlns:c16="http://schemas.microsoft.com/office/drawing/2014/chart" uri="{C3380CC4-5D6E-409C-BE32-E72D297353CC}">
              <c16:uniqueId val="{00000000-A370-468B-BC3A-B4FFEFA61768}"/>
            </c:ext>
          </c:extLst>
        </c:ser>
        <c:dLbls>
          <c:dLblPos val="outEnd"/>
          <c:showLegendKey val="0"/>
          <c:showVal val="1"/>
          <c:showCatName val="0"/>
          <c:showSerName val="0"/>
          <c:showPercent val="0"/>
          <c:showBubbleSize val="0"/>
        </c:dLbls>
        <c:gapWidth val="182"/>
        <c:axId val="478100648"/>
        <c:axId val="392092632"/>
      </c:barChart>
      <c:catAx>
        <c:axId val="478100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92092632"/>
        <c:crosses val="autoZero"/>
        <c:auto val="1"/>
        <c:lblAlgn val="ctr"/>
        <c:lblOffset val="100"/>
        <c:noMultiLvlLbl val="0"/>
      </c:catAx>
      <c:valAx>
        <c:axId val="392092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100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TIPO DE LESION - AT MAYO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'8. Tipo de lesion'!$B$22</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lesion'!$A$23:$A$31</c15:sqref>
                  </c15:fullRef>
                </c:ext>
              </c:extLst>
              <c:f>('8. Tipo de lesion'!$A$27,'8. Tipo de lesion'!$A$29:$A$30)</c:f>
              <c:strCache>
                <c:ptCount val="3"/>
                <c:pt idx="0">
                  <c:v>Torcedura, esguince, desgarro muscular, hernia o laceración de musculo o tendón sin herida (25)</c:v>
                </c:pt>
                <c:pt idx="1">
                  <c:v>Golpe, contusión o aplaztamiento</c:v>
                </c:pt>
                <c:pt idx="2">
                  <c:v>Envenenamiento o Intoxicación aguda o Alergia</c:v>
                </c:pt>
              </c:strCache>
            </c:strRef>
          </c:cat>
          <c:val>
            <c:numRef>
              <c:extLst>
                <c:ext xmlns:c15="http://schemas.microsoft.com/office/drawing/2012/chart" uri="{02D57815-91ED-43cb-92C2-25804820EDAC}">
                  <c15:fullRef>
                    <c15:sqref>'8. Tipo de lesion'!$B$23:$B$31</c15:sqref>
                  </c15:fullRef>
                </c:ext>
              </c:extLst>
              <c:f>('8. Tipo de lesion'!$B$27,'8. Tipo de lesion'!$B$29:$B$30)</c:f>
              <c:numCache>
                <c:formatCode>General</c:formatCode>
                <c:ptCount val="3"/>
                <c:pt idx="0">
                  <c:v>1</c:v>
                </c:pt>
                <c:pt idx="1">
                  <c:v>2</c:v>
                </c:pt>
                <c:pt idx="2">
                  <c:v>1</c:v>
                </c:pt>
              </c:numCache>
            </c:numRef>
          </c:val>
          <c:extLst>
            <c:ext xmlns:c16="http://schemas.microsoft.com/office/drawing/2014/chart" uri="{C3380CC4-5D6E-409C-BE32-E72D297353CC}">
              <c16:uniqueId val="{00000000-A36C-4A6D-BB23-9300378E5EF3}"/>
            </c:ext>
          </c:extLst>
        </c:ser>
        <c:dLbls>
          <c:dLblPos val="inEnd"/>
          <c:showLegendKey val="0"/>
          <c:showVal val="1"/>
          <c:showCatName val="0"/>
          <c:showSerName val="0"/>
          <c:showPercent val="0"/>
          <c:showBubbleSize val="0"/>
        </c:dLbls>
        <c:gapWidth val="182"/>
        <c:axId val="392090672"/>
        <c:axId val="392091064"/>
      </c:barChart>
      <c:catAx>
        <c:axId val="39209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92091064"/>
        <c:crosses val="autoZero"/>
        <c:auto val="1"/>
        <c:lblAlgn val="ctr"/>
        <c:lblOffset val="100"/>
        <c:noMultiLvlLbl val="0"/>
      </c:catAx>
      <c:valAx>
        <c:axId val="392091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9209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TIPO DE LESION - AT JUNIO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'8. Tipo de lesion'!$B$34:$B$38</c:f>
              <c:strCache>
                <c:ptCount val="5"/>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lesion'!$A$39:$A$43</c15:sqref>
                  </c15:fullRef>
                </c:ext>
              </c:extLst>
              <c:f>('8. Tipo de lesion'!$A$39,'8. Tipo de lesion'!$A$41)</c:f>
              <c:strCache>
                <c:ptCount val="2"/>
                <c:pt idx="0">
                  <c:v>Torcedura, esguince, desgarro muscular, hernia o laceración de musculo o tendón sin herida (25)</c:v>
                </c:pt>
                <c:pt idx="1">
                  <c:v>Golpe, contusión o aplaztamiento</c:v>
                </c:pt>
              </c:strCache>
            </c:strRef>
          </c:cat>
          <c:val>
            <c:numRef>
              <c:extLst>
                <c:ext xmlns:c15="http://schemas.microsoft.com/office/drawing/2012/chart" uri="{02D57815-91ED-43cb-92C2-25804820EDAC}">
                  <c15:fullRef>
                    <c15:sqref>'8. Tipo de lesion'!$B$39:$B$43</c15:sqref>
                  </c15:fullRef>
                </c:ext>
              </c:extLst>
              <c:f>('8. Tipo de lesion'!$B$39,'8. Tipo de lesion'!$B$41)</c:f>
              <c:numCache>
                <c:formatCode>General</c:formatCode>
                <c:ptCount val="2"/>
                <c:pt idx="0">
                  <c:v>1</c:v>
                </c:pt>
                <c:pt idx="1">
                  <c:v>4</c:v>
                </c:pt>
              </c:numCache>
            </c:numRef>
          </c:val>
          <c:extLst>
            <c:ext xmlns:c16="http://schemas.microsoft.com/office/drawing/2014/chart" uri="{C3380CC4-5D6E-409C-BE32-E72D297353CC}">
              <c16:uniqueId val="{00000000-9FF1-4CAE-BD52-2355A488ECA2}"/>
            </c:ext>
          </c:extLst>
        </c:ser>
        <c:dLbls>
          <c:dLblPos val="inEnd"/>
          <c:showLegendKey val="0"/>
          <c:showVal val="1"/>
          <c:showCatName val="0"/>
          <c:showSerName val="0"/>
          <c:showPercent val="0"/>
          <c:showBubbleSize val="0"/>
        </c:dLbls>
        <c:gapWidth val="182"/>
        <c:axId val="392089888"/>
        <c:axId val="392093024"/>
      </c:barChart>
      <c:catAx>
        <c:axId val="39208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92093024"/>
        <c:crosses val="autoZero"/>
        <c:auto val="1"/>
        <c:lblAlgn val="ctr"/>
        <c:lblOffset val="100"/>
        <c:noMultiLvlLbl val="0"/>
      </c:catAx>
      <c:valAx>
        <c:axId val="392093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9208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TIPO DE LESION - AT - SEPTIEMBRE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'8. Tipo de lesion'!$B$70:$B$76</c:f>
              <c:strCache>
                <c:ptCount val="7"/>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lesion'!$A$77:$A$79</c15:sqref>
                  </c15:fullRef>
                </c:ext>
              </c:extLst>
              <c:f>'8. Tipo de lesion'!$A$77</c:f>
              <c:strCache>
                <c:ptCount val="1"/>
                <c:pt idx="0">
                  <c:v>Golpe, contusión o aplaztamiento</c:v>
                </c:pt>
              </c:strCache>
            </c:strRef>
          </c:cat>
          <c:val>
            <c:numRef>
              <c:extLst>
                <c:ext xmlns:c15="http://schemas.microsoft.com/office/drawing/2012/chart" uri="{02D57815-91ED-43cb-92C2-25804820EDAC}">
                  <c15:fullRef>
                    <c15:sqref>'8. Tipo de lesion'!$B$77:$B$79</c15:sqref>
                  </c15:fullRef>
                </c:ext>
              </c:extLst>
              <c:f>'8. Tipo de lesion'!$B$77</c:f>
              <c:numCache>
                <c:formatCode>General</c:formatCode>
                <c:ptCount val="1"/>
                <c:pt idx="0">
                  <c:v>3</c:v>
                </c:pt>
              </c:numCache>
            </c:numRef>
          </c:val>
          <c:extLst>
            <c:ext xmlns:c16="http://schemas.microsoft.com/office/drawing/2014/chart" uri="{C3380CC4-5D6E-409C-BE32-E72D297353CC}">
              <c16:uniqueId val="{00000000-F2CB-4A32-BBFA-A1BA6903D619}"/>
            </c:ext>
          </c:extLst>
        </c:ser>
        <c:dLbls>
          <c:dLblPos val="inEnd"/>
          <c:showLegendKey val="0"/>
          <c:showVal val="1"/>
          <c:showCatName val="0"/>
          <c:showSerName val="0"/>
          <c:showPercent val="0"/>
          <c:showBubbleSize val="0"/>
        </c:dLbls>
        <c:gapWidth val="182"/>
        <c:axId val="471320080"/>
        <c:axId val="471320864"/>
      </c:barChart>
      <c:catAx>
        <c:axId val="47132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1320864"/>
        <c:crosses val="autoZero"/>
        <c:auto val="1"/>
        <c:lblAlgn val="ctr"/>
        <c:lblOffset val="100"/>
        <c:noMultiLvlLbl val="0"/>
      </c:catAx>
      <c:valAx>
        <c:axId val="47132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1320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TIPO DE LESION - AT - OCTUBRE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'8. Tipo de lesion'!$B$82:$B$86</c:f>
              <c:strCache>
                <c:ptCount val="5"/>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lesion'!$A$87:$A$91</c15:sqref>
                  </c15:fullRef>
                </c:ext>
              </c:extLst>
              <c:f>('8. Tipo de lesion'!$A$87,'8. Tipo de lesion'!$A$89)</c:f>
              <c:strCache>
                <c:ptCount val="2"/>
                <c:pt idx="0">
                  <c:v>Torcedura, esguince, desgarro muscular, hernia o laceración de musculo o tendón sin herida (25)</c:v>
                </c:pt>
                <c:pt idx="1">
                  <c:v>Golpe, contusión o aplaztamiento</c:v>
                </c:pt>
              </c:strCache>
            </c:strRef>
          </c:cat>
          <c:val>
            <c:numRef>
              <c:extLst>
                <c:ext xmlns:c15="http://schemas.microsoft.com/office/drawing/2012/chart" uri="{02D57815-91ED-43cb-92C2-25804820EDAC}">
                  <c15:fullRef>
                    <c15:sqref>'8. Tipo de lesion'!$B$87:$B$91</c15:sqref>
                  </c15:fullRef>
                </c:ext>
              </c:extLst>
              <c:f>('8. Tipo de lesion'!$B$87,'8. Tipo de lesion'!$B$89)</c:f>
              <c:numCache>
                <c:formatCode>General</c:formatCode>
                <c:ptCount val="2"/>
                <c:pt idx="0">
                  <c:v>1</c:v>
                </c:pt>
                <c:pt idx="1">
                  <c:v>2</c:v>
                </c:pt>
              </c:numCache>
            </c:numRef>
          </c:val>
          <c:extLst>
            <c:ext xmlns:c16="http://schemas.microsoft.com/office/drawing/2014/chart" uri="{C3380CC4-5D6E-409C-BE32-E72D297353CC}">
              <c16:uniqueId val="{00000000-FE6E-4A62-BAB8-34C951170AB4}"/>
            </c:ext>
          </c:extLst>
        </c:ser>
        <c:dLbls>
          <c:dLblPos val="inEnd"/>
          <c:showLegendKey val="0"/>
          <c:showVal val="1"/>
          <c:showCatName val="0"/>
          <c:showSerName val="0"/>
          <c:showPercent val="0"/>
          <c:showBubbleSize val="0"/>
        </c:dLbls>
        <c:gapWidth val="182"/>
        <c:axId val="450404392"/>
        <c:axId val="450406744"/>
      </c:barChart>
      <c:catAx>
        <c:axId val="450404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0406744"/>
        <c:crosses val="autoZero"/>
        <c:auto val="1"/>
        <c:lblAlgn val="ctr"/>
        <c:lblOffset val="100"/>
        <c:noMultiLvlLbl val="0"/>
      </c:catAx>
      <c:valAx>
        <c:axId val="450406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0404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baseline="0">
                <a:effectLst/>
              </a:rPr>
              <a:t>TIPO DE LESION - AT - NOVIEMBRE</a:t>
            </a:r>
            <a:endParaRPr lang="es-CO"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barChart>
        <c:barDir val="bar"/>
        <c:grouping val="clustered"/>
        <c:varyColors val="0"/>
        <c:ser>
          <c:idx val="0"/>
          <c:order val="0"/>
          <c:tx>
            <c:strRef>
              <c:f>'8. Tipo de lesion'!$B$94:$B$98</c:f>
              <c:strCache>
                <c:ptCount val="5"/>
                <c:pt idx="0">
                  <c:v>CANTIDAD</c:v>
                </c:pt>
              </c:strCache>
            </c:strRef>
          </c:tx>
          <c:spPr>
            <a:solidFill>
              <a:srgbClr val="00206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'8. Tipo de lesion'!$A$99:$A$103</c15:sqref>
                  </c15:fullRef>
                </c:ext>
              </c:extLst>
              <c:f>('8. Tipo de lesion'!$A$99,'8. Tipo de lesion'!$A$101)</c:f>
              <c:strCache>
                <c:ptCount val="2"/>
                <c:pt idx="0">
                  <c:v>Torcedura, esguince, desgarro muscular, hernia o laceración de musculo o tendón sin herida (25)</c:v>
                </c:pt>
                <c:pt idx="1">
                  <c:v>Golpe, contusión o aplaztamiento</c:v>
                </c:pt>
              </c:strCache>
            </c:strRef>
          </c:cat>
          <c:val>
            <c:numRef>
              <c:extLst>
                <c:ext xmlns:c15="http://schemas.microsoft.com/office/drawing/2012/chart" uri="{02D57815-91ED-43cb-92C2-25804820EDAC}">
                  <c15:fullRef>
                    <c15:sqref>'8. Tipo de lesion'!$B$99:$B$103</c15:sqref>
                  </c15:fullRef>
                </c:ext>
              </c:extLst>
              <c:f>('8. Tipo de lesion'!$B$99,'8. Tipo de lesion'!$B$101)</c:f>
              <c:numCache>
                <c:formatCode>General</c:formatCode>
                <c:ptCount val="2"/>
                <c:pt idx="0">
                  <c:v>1</c:v>
                </c:pt>
                <c:pt idx="1">
                  <c:v>4</c:v>
                </c:pt>
              </c:numCache>
            </c:numRef>
          </c:val>
          <c:extLst>
            <c:ext xmlns:c16="http://schemas.microsoft.com/office/drawing/2014/chart" uri="{C3380CC4-5D6E-409C-BE32-E72D297353CC}">
              <c16:uniqueId val="{00000000-2B2F-49BF-AD97-20BE0ACC31FE}"/>
            </c:ext>
          </c:extLst>
        </c:ser>
        <c:dLbls>
          <c:dLblPos val="inEnd"/>
          <c:showLegendKey val="0"/>
          <c:showVal val="1"/>
          <c:showCatName val="0"/>
          <c:showSerName val="0"/>
          <c:showPercent val="0"/>
          <c:showBubbleSize val="0"/>
        </c:dLbls>
        <c:gapWidth val="65"/>
        <c:axId val="450405568"/>
        <c:axId val="450407136"/>
      </c:barChart>
      <c:catAx>
        <c:axId val="450405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450407136"/>
        <c:crosses val="autoZero"/>
        <c:auto val="1"/>
        <c:lblAlgn val="ctr"/>
        <c:lblOffset val="100"/>
        <c:noMultiLvlLbl val="0"/>
      </c:catAx>
      <c:valAx>
        <c:axId val="4504071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45040556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CO"/>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TIPO</a:t>
            </a:r>
            <a:r>
              <a:rPr lang="en-US" baseline="0"/>
              <a:t> DE LESION JULIO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'8. Tipo de lesion'!$B$46:$B$47</c:f>
              <c:strCache>
                <c:ptCount val="2"/>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'8. Tipo de lesion'!$A$48:$A$54</c15:sqref>
                  </c15:fullRef>
                </c:ext>
              </c:extLst>
              <c:f>'8. Tipo de lesion'!$A$48</c:f>
              <c:strCache>
                <c:ptCount val="1"/>
                <c:pt idx="0">
                  <c:v>Herida</c:v>
                </c:pt>
              </c:strCache>
            </c:strRef>
          </c:cat>
          <c:val>
            <c:numRef>
              <c:extLst>
                <c:ext xmlns:c15="http://schemas.microsoft.com/office/drawing/2012/chart" uri="{02D57815-91ED-43cb-92C2-25804820EDAC}">
                  <c15:fullRef>
                    <c15:sqref>'8. Tipo de lesion'!$B$48:$B$54</c15:sqref>
                  </c15:fullRef>
                </c:ext>
              </c:extLst>
              <c:f>'8. Tipo de lesion'!$B$48</c:f>
              <c:numCache>
                <c:formatCode>General</c:formatCode>
                <c:ptCount val="1"/>
                <c:pt idx="0">
                  <c:v>1</c:v>
                </c:pt>
              </c:numCache>
            </c:numRef>
          </c:val>
          <c:extLst>
            <c:ext xmlns:c16="http://schemas.microsoft.com/office/drawing/2014/chart" uri="{C3380CC4-5D6E-409C-BE32-E72D297353CC}">
              <c16:uniqueId val="{00000000-E6F8-409E-B3B3-E6A5F4C1C747}"/>
            </c:ext>
          </c:extLst>
        </c:ser>
        <c:dLbls>
          <c:dLblPos val="outEnd"/>
          <c:showLegendKey val="0"/>
          <c:showVal val="1"/>
          <c:showCatName val="0"/>
          <c:showSerName val="0"/>
          <c:showPercent val="0"/>
          <c:showBubbleSize val="0"/>
        </c:dLbls>
        <c:gapWidth val="182"/>
        <c:axId val="290325839"/>
        <c:axId val="3073263"/>
      </c:barChart>
      <c:catAx>
        <c:axId val="29032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73263"/>
        <c:crosses val="autoZero"/>
        <c:auto val="1"/>
        <c:lblAlgn val="ctr"/>
        <c:lblOffset val="100"/>
        <c:noMultiLvlLbl val="0"/>
      </c:catAx>
      <c:valAx>
        <c:axId val="307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0325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TIPO DE LESION - AT - AGOSTO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'[2]8. Tipo de lesion'!$B$58</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'[2]8. Tipo de lesion'!$A$59:$A$67</c15:sqref>
                  </c15:fullRef>
                </c:ext>
              </c:extLst>
              <c:f>('[2]8. Tipo de lesion'!$A$60,'[2]8. Tipo de lesion'!$A$63)</c:f>
              <c:strCache>
                <c:ptCount val="2"/>
                <c:pt idx="0">
                  <c:v>Herida</c:v>
                </c:pt>
                <c:pt idx="1">
                  <c:v>Torcedura, esguince, desgarro muscular, hernia o laceración de musculo o tendón sin herida (25)</c:v>
                </c:pt>
              </c:strCache>
            </c:strRef>
          </c:cat>
          <c:val>
            <c:numRef>
              <c:extLst>
                <c:ext xmlns:c15="http://schemas.microsoft.com/office/drawing/2012/chart" uri="{02D57815-91ED-43cb-92C2-25804820EDAC}">
                  <c15:fullRef>
                    <c15:sqref>'[2]8. Tipo de lesion'!$B$59:$B$67</c15:sqref>
                  </c15:fullRef>
                </c:ext>
              </c:extLst>
              <c:f>('[2]8. Tipo de lesion'!$B$60,'[2]8. Tipo de lesion'!$B$63)</c:f>
              <c:numCache>
                <c:formatCode>General</c:formatCode>
                <c:ptCount val="2"/>
                <c:pt idx="0">
                  <c:v>2</c:v>
                </c:pt>
                <c:pt idx="1">
                  <c:v>2</c:v>
                </c:pt>
              </c:numCache>
            </c:numRef>
          </c:val>
          <c:extLst>
            <c:ext xmlns:c16="http://schemas.microsoft.com/office/drawing/2014/chart" uri="{C3380CC4-5D6E-409C-BE32-E72D297353CC}">
              <c16:uniqueId val="{00000000-9F18-4594-BEED-AB666B41F153}"/>
            </c:ext>
          </c:extLst>
        </c:ser>
        <c:dLbls>
          <c:dLblPos val="inEnd"/>
          <c:showLegendKey val="0"/>
          <c:showVal val="1"/>
          <c:showCatName val="0"/>
          <c:showSerName val="0"/>
          <c:showPercent val="0"/>
          <c:showBubbleSize val="0"/>
        </c:dLbls>
        <c:gapWidth val="182"/>
        <c:axId val="471318904"/>
        <c:axId val="471321648"/>
      </c:barChart>
      <c:catAx>
        <c:axId val="47131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471321648"/>
        <c:crosses val="autoZero"/>
        <c:auto val="1"/>
        <c:lblAlgn val="ctr"/>
        <c:lblOffset val="100"/>
        <c:noMultiLvlLbl val="0"/>
      </c:catAx>
      <c:valAx>
        <c:axId val="47132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1318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MX" sz="1200" b="1" i="1"/>
              <a:t>Mecanismo - Enero</a:t>
            </a:r>
          </a:p>
        </c:rich>
      </c:tx>
      <c:layout>
        <c:manualLayout>
          <c:xMode val="edge"/>
          <c:yMode val="edge"/>
          <c:x val="0.38612000112889117"/>
          <c:y val="3.165182001080398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45747222222222222"/>
          <c:y val="0.18327956989247315"/>
          <c:w val="0.50623953494173812"/>
          <c:h val="0.67586952840572345"/>
        </c:manualLayout>
      </c:layout>
      <c:barChart>
        <c:barDir val="bar"/>
        <c:grouping val="clustered"/>
        <c:varyColors val="0"/>
        <c:ser>
          <c:idx val="0"/>
          <c:order val="0"/>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Mecanismo'!$A$2:$A$10</c15:sqref>
                  </c15:fullRef>
                </c:ext>
              </c:extLst>
              <c:f>'11. Mecanismo'!$A$3</c:f>
              <c:strCache>
                <c:ptCount val="1"/>
                <c:pt idx="0">
                  <c:v>Otro, cuerpo extraño en ojo </c:v>
                </c:pt>
              </c:strCache>
            </c:strRef>
          </c:cat>
          <c:val>
            <c:numRef>
              <c:extLst>
                <c:ext xmlns:c15="http://schemas.microsoft.com/office/drawing/2012/chart" uri="{02D57815-91ED-43cb-92C2-25804820EDAC}">
                  <c15:fullRef>
                    <c15:sqref>'11. Mecanismo'!$B$2:$B$10</c15:sqref>
                  </c15:fullRef>
                </c:ext>
              </c:extLst>
              <c:f>'11. Mecanismo'!$B$3</c:f>
              <c:numCache>
                <c:formatCode>General</c:formatCode>
                <c:ptCount val="1"/>
                <c:pt idx="0">
                  <c:v>1</c:v>
                </c:pt>
              </c:numCache>
            </c:numRef>
          </c:val>
          <c:extLst>
            <c:ext xmlns:c16="http://schemas.microsoft.com/office/drawing/2014/chart" uri="{C3380CC4-5D6E-409C-BE32-E72D297353CC}">
              <c16:uniqueId val="{00000000-B1A7-423E-A812-267DBA1BA89A}"/>
            </c:ext>
          </c:extLst>
        </c:ser>
        <c:dLbls>
          <c:showLegendKey val="0"/>
          <c:showVal val="0"/>
          <c:showCatName val="0"/>
          <c:showSerName val="0"/>
          <c:showPercent val="0"/>
          <c:showBubbleSize val="0"/>
        </c:dLbls>
        <c:gapWidth val="182"/>
        <c:axId val="406306640"/>
        <c:axId val="406308992"/>
      </c:barChart>
      <c:catAx>
        <c:axId val="4063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8992"/>
        <c:crosses val="autoZero"/>
        <c:auto val="1"/>
        <c:lblAlgn val="ctr"/>
        <c:lblOffset val="100"/>
        <c:noMultiLvlLbl val="0"/>
      </c:catAx>
      <c:valAx>
        <c:axId val="406308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6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MECANISMOS - ABRIL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'11. Mecanismo'!$B$13:$B$16</c:f>
              <c:strCache>
                <c:ptCount val="4"/>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Mecanismo'!$A$17:$A$23</c15:sqref>
                  </c15:fullRef>
                </c:ext>
              </c:extLst>
              <c:f>'11. Mecanismo'!$A$18</c:f>
              <c:strCache>
                <c:ptCount val="1"/>
                <c:pt idx="0">
                  <c:v>Sobreesfuerzo, esfuerzo excesivo, o falso movimiento</c:v>
                </c:pt>
              </c:strCache>
            </c:strRef>
          </c:cat>
          <c:val>
            <c:numRef>
              <c:extLst>
                <c:ext xmlns:c15="http://schemas.microsoft.com/office/drawing/2012/chart" uri="{02D57815-91ED-43cb-92C2-25804820EDAC}">
                  <c15:fullRef>
                    <c15:sqref>'11. Mecanismo'!$B$17:$B$23</c15:sqref>
                  </c15:fullRef>
                </c:ext>
              </c:extLst>
              <c:f>'11. Mecanismo'!$B$18</c:f>
              <c:numCache>
                <c:formatCode>General</c:formatCode>
                <c:ptCount val="1"/>
                <c:pt idx="0">
                  <c:v>1</c:v>
                </c:pt>
              </c:numCache>
            </c:numRef>
          </c:val>
          <c:extLst>
            <c:ext xmlns:c16="http://schemas.microsoft.com/office/drawing/2014/chart" uri="{C3380CC4-5D6E-409C-BE32-E72D297353CC}">
              <c16:uniqueId val="{00000000-EC60-45BE-AB98-92F4B0D97AC7}"/>
            </c:ext>
          </c:extLst>
        </c:ser>
        <c:dLbls>
          <c:dLblPos val="outEnd"/>
          <c:showLegendKey val="0"/>
          <c:showVal val="1"/>
          <c:showCatName val="0"/>
          <c:showSerName val="0"/>
          <c:showPercent val="0"/>
          <c:showBubbleSize val="0"/>
        </c:dLbls>
        <c:gapWidth val="182"/>
        <c:axId val="406309776"/>
        <c:axId val="406305856"/>
      </c:barChart>
      <c:catAx>
        <c:axId val="40630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5856"/>
        <c:crosses val="autoZero"/>
        <c:auto val="1"/>
        <c:lblAlgn val="ctr"/>
        <c:lblOffset val="100"/>
        <c:noMultiLvlLbl val="0"/>
      </c:catAx>
      <c:valAx>
        <c:axId val="406305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9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MECANISMOS DEL AT - MAYO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'11. Mecanismo'!$B$25:$B$28</c:f>
              <c:strCache>
                <c:ptCount val="4"/>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Mecanismo'!$A$29:$A$35</c15:sqref>
                  </c15:fullRef>
                </c:ext>
              </c:extLst>
              <c:f>('11. Mecanismo'!$A$29:$A$30,'11. Mecanismo'!$A$34)</c:f>
              <c:strCache>
                <c:ptCount val="3"/>
                <c:pt idx="0">
                  <c:v>Pisadas, choques o golpes</c:v>
                </c:pt>
                <c:pt idx="1">
                  <c:v>Sobreesfuerzo, esfuerzo excesivo, o falso movimiento</c:v>
                </c:pt>
                <c:pt idx="2">
                  <c:v>Mordedura-picadura</c:v>
                </c:pt>
              </c:strCache>
            </c:strRef>
          </c:cat>
          <c:val>
            <c:numRef>
              <c:extLst>
                <c:ext xmlns:c15="http://schemas.microsoft.com/office/drawing/2012/chart" uri="{02D57815-91ED-43cb-92C2-25804820EDAC}">
                  <c15:fullRef>
                    <c15:sqref>'11. Mecanismo'!$B$29:$B$35</c15:sqref>
                  </c15:fullRef>
                </c:ext>
              </c:extLst>
              <c:f>('11. Mecanismo'!$B$29:$B$30,'11. Mecanismo'!$B$34)</c:f>
              <c:numCache>
                <c:formatCode>General</c:formatCode>
                <c:ptCount val="3"/>
                <c:pt idx="0">
                  <c:v>1</c:v>
                </c:pt>
                <c:pt idx="1">
                  <c:v>2</c:v>
                </c:pt>
                <c:pt idx="2">
                  <c:v>1</c:v>
                </c:pt>
              </c:numCache>
            </c:numRef>
          </c:val>
          <c:extLst>
            <c:ext xmlns:c16="http://schemas.microsoft.com/office/drawing/2014/chart" uri="{C3380CC4-5D6E-409C-BE32-E72D297353CC}">
              <c16:uniqueId val="{00000000-2AE6-44FC-BCBE-985180914674}"/>
            </c:ext>
          </c:extLst>
        </c:ser>
        <c:dLbls>
          <c:dLblPos val="inEnd"/>
          <c:showLegendKey val="0"/>
          <c:showVal val="1"/>
          <c:showCatName val="0"/>
          <c:showSerName val="0"/>
          <c:showPercent val="0"/>
          <c:showBubbleSize val="0"/>
        </c:dLbls>
        <c:gapWidth val="182"/>
        <c:axId val="406306248"/>
        <c:axId val="406308600"/>
      </c:barChart>
      <c:catAx>
        <c:axId val="406306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8600"/>
        <c:crosses val="autoZero"/>
        <c:auto val="1"/>
        <c:lblAlgn val="ctr"/>
        <c:lblOffset val="100"/>
        <c:noMultiLvlLbl val="0"/>
      </c:catAx>
      <c:valAx>
        <c:axId val="406308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6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O" sz="1800" b="0" i="0" baseline="0">
                <a:effectLst/>
              </a:rPr>
              <a:t>MECANISMOS DEL AT - JUNIO</a:t>
            </a:r>
            <a:endParaRPr lang="es-CO">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barChart>
        <c:barDir val="bar"/>
        <c:grouping val="clustered"/>
        <c:varyColors val="0"/>
        <c:ser>
          <c:idx val="0"/>
          <c:order val="0"/>
          <c:tx>
            <c:strRef>
              <c:f>'11. Mecanismo'!$B$38:$B$41</c:f>
              <c:strCache>
                <c:ptCount val="4"/>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Mecanismo'!$A$42:$A$48</c15:sqref>
                  </c15:fullRef>
                </c:ext>
              </c:extLst>
              <c:f>'11. Mecanismo'!$A$42:$A$43</c:f>
              <c:strCache>
                <c:ptCount val="2"/>
                <c:pt idx="0">
                  <c:v>Pisadas, choques o golpes</c:v>
                </c:pt>
                <c:pt idx="1">
                  <c:v>Sobreesfuerzo, esfuerzo excesivo, o falso movimiento</c:v>
                </c:pt>
              </c:strCache>
            </c:strRef>
          </c:cat>
          <c:val>
            <c:numRef>
              <c:extLst>
                <c:ext xmlns:c15="http://schemas.microsoft.com/office/drawing/2012/chart" uri="{02D57815-91ED-43cb-92C2-25804820EDAC}">
                  <c15:fullRef>
                    <c15:sqref>'11. Mecanismo'!$B$42:$B$48</c15:sqref>
                  </c15:fullRef>
                </c:ext>
              </c:extLst>
              <c:f>'11. Mecanismo'!$B$42:$B$43</c:f>
              <c:numCache>
                <c:formatCode>General</c:formatCode>
                <c:ptCount val="2"/>
                <c:pt idx="1">
                  <c:v>2</c:v>
                </c:pt>
              </c:numCache>
            </c:numRef>
          </c:val>
          <c:extLst>
            <c:ext xmlns:c16="http://schemas.microsoft.com/office/drawing/2014/chart" uri="{C3380CC4-5D6E-409C-BE32-E72D297353CC}">
              <c16:uniqueId val="{00000000-43F3-4BC1-B9E7-40F2442CE23B}"/>
            </c:ext>
          </c:extLst>
        </c:ser>
        <c:dLbls>
          <c:dLblPos val="inEnd"/>
          <c:showLegendKey val="0"/>
          <c:showVal val="1"/>
          <c:showCatName val="0"/>
          <c:showSerName val="0"/>
          <c:showPercent val="0"/>
          <c:showBubbleSize val="0"/>
        </c:dLbls>
        <c:gapWidth val="182"/>
        <c:axId val="406303112"/>
        <c:axId val="353731912"/>
      </c:barChart>
      <c:catAx>
        <c:axId val="406303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1912"/>
        <c:crosses val="autoZero"/>
        <c:auto val="1"/>
        <c:lblAlgn val="ctr"/>
        <c:lblOffset val="100"/>
        <c:noMultiLvlLbl val="0"/>
      </c:catAx>
      <c:valAx>
        <c:axId val="353731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6303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MECANISMOS DEL AT - JUNIO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'11. Mecanismo'!$B$51</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Mecanismo'!$A$52:$A$61</c15:sqref>
                  </c15:fullRef>
                </c:ext>
              </c:extLst>
              <c:f>('11. Mecanismo'!$A$52:$A$54,'11. Mecanismo'!$A$56)</c:f>
              <c:strCache>
                <c:ptCount val="4"/>
                <c:pt idx="0">
                  <c:v>Caída de objetos</c:v>
                </c:pt>
                <c:pt idx="1">
                  <c:v>Otro -(Corte)</c:v>
                </c:pt>
                <c:pt idx="2">
                  <c:v>Caída de personas</c:v>
                </c:pt>
                <c:pt idx="3">
                  <c:v>Sobreesfuerzo, esfuerzo excesivo, o falso movimiento</c:v>
                </c:pt>
              </c:strCache>
            </c:strRef>
          </c:cat>
          <c:val>
            <c:numRef>
              <c:extLst>
                <c:ext xmlns:c15="http://schemas.microsoft.com/office/drawing/2012/chart" uri="{02D57815-91ED-43cb-92C2-25804820EDAC}">
                  <c15:fullRef>
                    <c15:sqref>'11. Mecanismo'!$B$52:$B$61</c15:sqref>
                  </c15:fullRef>
                </c:ext>
              </c:extLst>
              <c:f>('11. Mecanismo'!$B$52:$B$54,'11. Mecanismo'!$B$56)</c:f>
              <c:numCache>
                <c:formatCode>General</c:formatCode>
                <c:ptCount val="4"/>
                <c:pt idx="1">
                  <c:v>1</c:v>
                </c:pt>
              </c:numCache>
            </c:numRef>
          </c:val>
          <c:extLst>
            <c:ext xmlns:c16="http://schemas.microsoft.com/office/drawing/2014/chart" uri="{C3380CC4-5D6E-409C-BE32-E72D297353CC}">
              <c16:uniqueId val="{00000000-D992-422B-B96C-647DE7660F53}"/>
            </c:ext>
          </c:extLst>
        </c:ser>
        <c:dLbls>
          <c:dLblPos val="inEnd"/>
          <c:showLegendKey val="0"/>
          <c:showVal val="1"/>
          <c:showCatName val="0"/>
          <c:showSerName val="0"/>
          <c:showPercent val="0"/>
          <c:showBubbleSize val="0"/>
        </c:dLbls>
        <c:gapWidth val="182"/>
        <c:axId val="353736616"/>
        <c:axId val="353735048"/>
      </c:barChart>
      <c:catAx>
        <c:axId val="353736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5048"/>
        <c:crosses val="autoZero"/>
        <c:auto val="1"/>
        <c:lblAlgn val="ctr"/>
        <c:lblOffset val="100"/>
        <c:noMultiLvlLbl val="0"/>
      </c:catAx>
      <c:valAx>
        <c:axId val="353735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6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MECANISMO - AT - SEPTIEMBRE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'11. Mecanismo'!$B$77:$B$80</c:f>
              <c:strCache>
                <c:ptCount val="4"/>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Mecanismo'!$A$81:$A$87</c15:sqref>
                  </c15:fullRef>
                </c:ext>
              </c:extLst>
              <c:f>'11. Mecanismo'!$A$81</c:f>
              <c:strCache>
                <c:ptCount val="1"/>
                <c:pt idx="0">
                  <c:v>Pisadas, choques o golpes</c:v>
                </c:pt>
              </c:strCache>
            </c:strRef>
          </c:cat>
          <c:val>
            <c:numRef>
              <c:extLst>
                <c:ext xmlns:c15="http://schemas.microsoft.com/office/drawing/2012/chart" uri="{02D57815-91ED-43cb-92C2-25804820EDAC}">
                  <c15:fullRef>
                    <c15:sqref>'11. Mecanismo'!$B$81:$B$87</c15:sqref>
                  </c15:fullRef>
                </c:ext>
              </c:extLst>
              <c:f>'11. Mecanismo'!$B$81</c:f>
              <c:numCache>
                <c:formatCode>General</c:formatCode>
                <c:ptCount val="1"/>
                <c:pt idx="0">
                  <c:v>3</c:v>
                </c:pt>
              </c:numCache>
            </c:numRef>
          </c:val>
          <c:extLst>
            <c:ext xmlns:c16="http://schemas.microsoft.com/office/drawing/2014/chart" uri="{C3380CC4-5D6E-409C-BE32-E72D297353CC}">
              <c16:uniqueId val="{00000000-2667-42A0-BED4-0273EBC5922A}"/>
            </c:ext>
          </c:extLst>
        </c:ser>
        <c:dLbls>
          <c:dLblPos val="inEnd"/>
          <c:showLegendKey val="0"/>
          <c:showVal val="1"/>
          <c:showCatName val="0"/>
          <c:showSerName val="0"/>
          <c:showPercent val="0"/>
          <c:showBubbleSize val="0"/>
        </c:dLbls>
        <c:gapWidth val="182"/>
        <c:axId val="353737400"/>
        <c:axId val="353737792"/>
      </c:barChart>
      <c:catAx>
        <c:axId val="353737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7792"/>
        <c:crosses val="autoZero"/>
        <c:auto val="1"/>
        <c:lblAlgn val="ctr"/>
        <c:lblOffset val="100"/>
        <c:noMultiLvlLbl val="0"/>
      </c:catAx>
      <c:valAx>
        <c:axId val="353737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7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MECANISMO - AT - OCTUBRE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'11. Mecanismo'!$B$90:$B$93</c:f>
              <c:strCache>
                <c:ptCount val="4"/>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Mecanismo'!$A$94:$A$100</c15:sqref>
                  </c15:fullRef>
                </c:ext>
              </c:extLst>
              <c:f>'11. Mecanismo'!$A$94:$A$95</c:f>
              <c:strCache>
                <c:ptCount val="2"/>
                <c:pt idx="0">
                  <c:v>Pisadas, choques o golpes</c:v>
                </c:pt>
                <c:pt idx="1">
                  <c:v>Sobreesfuerzo, esfuerzo excesivo, o falso movimiento</c:v>
                </c:pt>
              </c:strCache>
            </c:strRef>
          </c:cat>
          <c:val>
            <c:numRef>
              <c:extLst>
                <c:ext xmlns:c15="http://schemas.microsoft.com/office/drawing/2012/chart" uri="{02D57815-91ED-43cb-92C2-25804820EDAC}">
                  <c15:fullRef>
                    <c15:sqref>'11. Mecanismo'!$B$94:$B$100</c15:sqref>
                  </c15:fullRef>
                </c:ext>
              </c:extLst>
              <c:f>'11. Mecanismo'!$B$94:$B$95</c:f>
              <c:numCache>
                <c:formatCode>General</c:formatCode>
                <c:ptCount val="2"/>
                <c:pt idx="0">
                  <c:v>2</c:v>
                </c:pt>
                <c:pt idx="1">
                  <c:v>1</c:v>
                </c:pt>
              </c:numCache>
            </c:numRef>
          </c:val>
          <c:extLst>
            <c:ext xmlns:c16="http://schemas.microsoft.com/office/drawing/2014/chart" uri="{C3380CC4-5D6E-409C-BE32-E72D297353CC}">
              <c16:uniqueId val="{00000000-EBA2-4BD2-BF69-241320875593}"/>
            </c:ext>
          </c:extLst>
        </c:ser>
        <c:dLbls>
          <c:dLblPos val="inEnd"/>
          <c:showLegendKey val="0"/>
          <c:showVal val="1"/>
          <c:showCatName val="0"/>
          <c:showSerName val="0"/>
          <c:showPercent val="0"/>
          <c:showBubbleSize val="0"/>
        </c:dLbls>
        <c:gapWidth val="182"/>
        <c:axId val="353733088"/>
        <c:axId val="353731520"/>
      </c:barChart>
      <c:catAx>
        <c:axId val="3537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1520"/>
        <c:crosses val="autoZero"/>
        <c:auto val="1"/>
        <c:lblAlgn val="ctr"/>
        <c:lblOffset val="100"/>
        <c:noMultiLvlLbl val="0"/>
      </c:catAx>
      <c:valAx>
        <c:axId val="353731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3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baseline="0">
                <a:effectLst/>
              </a:rPr>
              <a:t>MECANISMO - AT - NOVIEMBRE</a:t>
            </a:r>
            <a:endParaRPr lang="es-CO"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barChart>
        <c:barDir val="bar"/>
        <c:grouping val="clustered"/>
        <c:varyColors val="0"/>
        <c:ser>
          <c:idx val="0"/>
          <c:order val="0"/>
          <c:tx>
            <c:strRef>
              <c:f>'11. Mecanismo'!$B$103:$B$106</c:f>
              <c:strCache>
                <c:ptCount val="4"/>
                <c:pt idx="0">
                  <c:v>CANTIDAD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'11. Mecanismo'!$A$107:$A$113</c15:sqref>
                  </c15:fullRef>
                </c:ext>
              </c:extLst>
              <c:f>'11. Mecanismo'!$A$107:$A$109</c:f>
              <c:strCache>
                <c:ptCount val="3"/>
                <c:pt idx="0">
                  <c:v>Pisadas, choques o golpes</c:v>
                </c:pt>
                <c:pt idx="1">
                  <c:v>Sobreesfuerzo, esfuerzo excesivo, o falso movimiento</c:v>
                </c:pt>
                <c:pt idx="2">
                  <c:v>Atrapamientos</c:v>
                </c:pt>
              </c:strCache>
            </c:strRef>
          </c:cat>
          <c:val>
            <c:numRef>
              <c:extLst>
                <c:ext xmlns:c15="http://schemas.microsoft.com/office/drawing/2012/chart" uri="{02D57815-91ED-43cb-92C2-25804820EDAC}">
                  <c15:fullRef>
                    <c15:sqref>'11. Mecanismo'!$B$107:$B$113</c15:sqref>
                  </c15:fullRef>
                </c:ext>
              </c:extLst>
              <c:f>'11. Mecanismo'!$B$107:$B$109</c:f>
              <c:numCache>
                <c:formatCode>General</c:formatCode>
                <c:ptCount val="3"/>
                <c:pt idx="0">
                  <c:v>3</c:v>
                </c:pt>
                <c:pt idx="1">
                  <c:v>1</c:v>
                </c:pt>
                <c:pt idx="2">
                  <c:v>1</c:v>
                </c:pt>
              </c:numCache>
            </c:numRef>
          </c:val>
          <c:extLst>
            <c:ext xmlns:c16="http://schemas.microsoft.com/office/drawing/2014/chart" uri="{C3380CC4-5D6E-409C-BE32-E72D297353CC}">
              <c16:uniqueId val="{00000000-4F3C-4382-AAC5-23223F6EF4AD}"/>
            </c:ext>
          </c:extLst>
        </c:ser>
        <c:dLbls>
          <c:dLblPos val="inEnd"/>
          <c:showLegendKey val="0"/>
          <c:showVal val="1"/>
          <c:showCatName val="0"/>
          <c:showSerName val="0"/>
          <c:showPercent val="0"/>
          <c:showBubbleSize val="0"/>
        </c:dLbls>
        <c:gapWidth val="65"/>
        <c:axId val="353738184"/>
        <c:axId val="353733480"/>
      </c:barChart>
      <c:catAx>
        <c:axId val="3537381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353733480"/>
        <c:crosses val="autoZero"/>
        <c:auto val="1"/>
        <c:lblAlgn val="ctr"/>
        <c:lblOffset val="100"/>
        <c:noMultiLvlLbl val="0"/>
      </c:catAx>
      <c:valAx>
        <c:axId val="3537334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35373818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CO"/>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MECNISMO</a:t>
            </a:r>
            <a:r>
              <a:rPr lang="es-ES" baseline="0"/>
              <a:t> JULIO</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'11. Mecanismo'!$J$2:$J$3</c:f>
              <c:strCache>
                <c:ptCount val="2"/>
                <c:pt idx="0">
                  <c:v>CANTIDAD</c:v>
                </c:pt>
              </c:strCache>
            </c:strRef>
          </c:tx>
          <c:spPr>
            <a:solidFill>
              <a:schemeClr val="accent1"/>
            </a:solidFill>
            <a:ln>
              <a:noFill/>
            </a:ln>
            <a:effectLst/>
          </c:spPr>
          <c:invertIfNegative val="0"/>
          <c:dPt>
            <c:idx val="0"/>
            <c:invertIfNegative val="0"/>
            <c:bubble3D val="0"/>
            <c:spPr>
              <a:solidFill>
                <a:srgbClr val="009900"/>
              </a:solidFill>
              <a:ln>
                <a:noFill/>
              </a:ln>
              <a:effectLst/>
            </c:spPr>
            <c:extLst>
              <c:ext xmlns:c16="http://schemas.microsoft.com/office/drawing/2014/chart" uri="{C3380CC4-5D6E-409C-BE32-E72D297353CC}">
                <c16:uniqueId val="{00000001-8B9B-47CC-8164-D789FB2005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'11. Mecanismo'!$I$4:$I$11</c15:sqref>
                  </c15:fullRef>
                </c:ext>
              </c:extLst>
              <c:f>'11. Mecanismo'!$I$4</c:f>
              <c:strCache>
                <c:ptCount val="1"/>
                <c:pt idx="0">
                  <c:v>Otro, corte </c:v>
                </c:pt>
              </c:strCache>
            </c:strRef>
          </c:cat>
          <c:val>
            <c:numRef>
              <c:extLst>
                <c:ext xmlns:c15="http://schemas.microsoft.com/office/drawing/2012/chart" uri="{02D57815-91ED-43cb-92C2-25804820EDAC}">
                  <c15:fullRef>
                    <c15:sqref>'11. Mecanismo'!$J$4:$J$11</c15:sqref>
                  </c15:fullRef>
                </c:ext>
              </c:extLst>
              <c:f>'11. Mecanismo'!$J$4</c:f>
              <c:numCache>
                <c:formatCode>General</c:formatCode>
                <c:ptCount val="1"/>
                <c:pt idx="0">
                  <c:v>1</c:v>
                </c:pt>
              </c:numCache>
            </c:numRef>
          </c:val>
          <c:extLst>
            <c:ext xmlns:c16="http://schemas.microsoft.com/office/drawing/2014/chart" uri="{C3380CC4-5D6E-409C-BE32-E72D297353CC}">
              <c16:uniqueId val="{00000000-8B9B-47CC-8164-D789FB200532}"/>
            </c:ext>
          </c:extLst>
        </c:ser>
        <c:dLbls>
          <c:dLblPos val="outEnd"/>
          <c:showLegendKey val="0"/>
          <c:showVal val="1"/>
          <c:showCatName val="0"/>
          <c:showSerName val="0"/>
          <c:showPercent val="0"/>
          <c:showBubbleSize val="0"/>
        </c:dLbls>
        <c:gapWidth val="182"/>
        <c:axId val="176537375"/>
        <c:axId val="3075663"/>
      </c:barChart>
      <c:catAx>
        <c:axId val="17653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75663"/>
        <c:crosses val="autoZero"/>
        <c:auto val="1"/>
        <c:lblAlgn val="ctr"/>
        <c:lblOffset val="100"/>
        <c:noMultiLvlLbl val="0"/>
      </c:catAx>
      <c:valAx>
        <c:axId val="307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6537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MECANISMO - AT - AGOSTO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'[2]11. Mecanismo'!$B$64</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'[2]11. Mecanismo'!$A$65:$A$74</c15:sqref>
                  </c15:fullRef>
                </c:ext>
              </c:extLst>
              <c:f>('[2]11. Mecanismo'!$A$66:$A$67,'[2]11. Mecanismo'!$A$69)</c:f>
              <c:strCache>
                <c:ptCount val="3"/>
                <c:pt idx="0">
                  <c:v>Otro : Impacto disco pulidora </c:v>
                </c:pt>
                <c:pt idx="1">
                  <c:v>Caída de personas</c:v>
                </c:pt>
                <c:pt idx="2">
                  <c:v>Sobreesfuerzo, esfuerzo excesivo, o falso movimiento</c:v>
                </c:pt>
              </c:strCache>
            </c:strRef>
          </c:cat>
          <c:val>
            <c:numRef>
              <c:extLst>
                <c:ext xmlns:c15="http://schemas.microsoft.com/office/drawing/2012/chart" uri="{02D57815-91ED-43cb-92C2-25804820EDAC}">
                  <c15:fullRef>
                    <c15:sqref>'[2]11. Mecanismo'!$B$65:$B$74</c15:sqref>
                  </c15:fullRef>
                </c:ext>
              </c:extLst>
              <c:f>('[2]11. Mecanismo'!$B$66:$B$67,'[2]11. Mecanismo'!$B$69)</c:f>
              <c:numCache>
                <c:formatCode>General</c:formatCode>
                <c:ptCount val="3"/>
                <c:pt idx="0">
                  <c:v>1</c:v>
                </c:pt>
                <c:pt idx="1">
                  <c:v>1</c:v>
                </c:pt>
                <c:pt idx="2">
                  <c:v>2</c:v>
                </c:pt>
              </c:numCache>
            </c:numRef>
          </c:val>
          <c:extLst>
            <c:ext xmlns:c16="http://schemas.microsoft.com/office/drawing/2014/chart" uri="{C3380CC4-5D6E-409C-BE32-E72D297353CC}">
              <c16:uniqueId val="{00000000-A7CE-4A10-9769-72D65B431893}"/>
            </c:ext>
          </c:extLst>
        </c:ser>
        <c:dLbls>
          <c:dLblPos val="inEnd"/>
          <c:showLegendKey val="0"/>
          <c:showVal val="1"/>
          <c:showCatName val="0"/>
          <c:showSerName val="0"/>
          <c:showPercent val="0"/>
          <c:showBubbleSize val="0"/>
        </c:dLbls>
        <c:gapWidth val="182"/>
        <c:axId val="353737008"/>
        <c:axId val="353738968"/>
      </c:barChart>
      <c:catAx>
        <c:axId val="35373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8968"/>
        <c:crosses val="autoZero"/>
        <c:auto val="1"/>
        <c:lblAlgn val="ctr"/>
        <c:lblOffset val="100"/>
        <c:noMultiLvlLbl val="0"/>
      </c:catAx>
      <c:valAx>
        <c:axId val="353738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7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i="1"/>
              <a:t>Cargo - enero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'12.Cargo'!$A$2:$A$7</c15:sqref>
                  </c15:fullRef>
                </c:ext>
              </c:extLst>
              <c:f>'12.Cargo'!$A$4</c:f>
              <c:strCache>
                <c:ptCount val="1"/>
                <c:pt idx="0">
                  <c:v>Operario de clasificacion </c:v>
                </c:pt>
              </c:strCache>
            </c:strRef>
          </c:cat>
          <c:val>
            <c:numRef>
              <c:extLst>
                <c:ext xmlns:c15="http://schemas.microsoft.com/office/drawing/2012/chart" uri="{02D57815-91ED-43cb-92C2-25804820EDAC}">
                  <c15:fullRef>
                    <c15:sqref>'12.Cargo'!$B$2:$B$7</c15:sqref>
                  </c15:fullRef>
                </c:ext>
              </c:extLst>
              <c:f>'12.Cargo'!$B$4</c:f>
              <c:numCache>
                <c:formatCode>General</c:formatCode>
                <c:ptCount val="1"/>
                <c:pt idx="0">
                  <c:v>1</c:v>
                </c:pt>
              </c:numCache>
            </c:numRef>
          </c:val>
          <c:extLst>
            <c:ext xmlns:c16="http://schemas.microsoft.com/office/drawing/2014/chart" uri="{C3380CC4-5D6E-409C-BE32-E72D297353CC}">
              <c16:uniqueId val="{00000000-C7A8-4BAB-8191-428F3CDD8DC1}"/>
            </c:ext>
          </c:extLst>
        </c:ser>
        <c:dLbls>
          <c:showLegendKey val="0"/>
          <c:showVal val="0"/>
          <c:showCatName val="0"/>
          <c:showSerName val="0"/>
          <c:showPercent val="0"/>
          <c:showBubbleSize val="0"/>
        </c:dLbls>
        <c:gapWidth val="182"/>
        <c:axId val="353732304"/>
        <c:axId val="353738576"/>
      </c:barChart>
      <c:catAx>
        <c:axId val="35373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8576"/>
        <c:crosses val="autoZero"/>
        <c:auto val="1"/>
        <c:lblAlgn val="ctr"/>
        <c:lblOffset val="100"/>
        <c:noMultiLvlLbl val="0"/>
      </c:catAx>
      <c:valAx>
        <c:axId val="35373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373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 - ABRIL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'12.Cargo'!$B$10</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'12.Cargo'!$A$11:$A$17</c15:sqref>
                  </c15:fullRef>
                </c:ext>
              </c:extLst>
              <c:f>'12.Cargo'!$A$13</c:f>
              <c:strCache>
                <c:ptCount val="1"/>
                <c:pt idx="0">
                  <c:v>Operario de granja </c:v>
                </c:pt>
              </c:strCache>
            </c:strRef>
          </c:cat>
          <c:val>
            <c:numRef>
              <c:extLst>
                <c:ext xmlns:c15="http://schemas.microsoft.com/office/drawing/2012/chart" uri="{02D57815-91ED-43cb-92C2-25804820EDAC}">
                  <c15:fullRef>
                    <c15:sqref>'12.Cargo'!$B$11:$B$17</c15:sqref>
                  </c15:fullRef>
                </c:ext>
              </c:extLst>
              <c:f>'12.Cargo'!$B$13</c:f>
              <c:numCache>
                <c:formatCode>General</c:formatCode>
                <c:ptCount val="1"/>
                <c:pt idx="0">
                  <c:v>1</c:v>
                </c:pt>
              </c:numCache>
            </c:numRef>
          </c:val>
          <c:extLst>
            <c:ext xmlns:c16="http://schemas.microsoft.com/office/drawing/2014/chart" uri="{C3380CC4-5D6E-409C-BE32-E72D297353CC}">
              <c16:uniqueId val="{00000000-46AC-4433-AFF5-9A6121C2FFEE}"/>
            </c:ext>
          </c:extLst>
        </c:ser>
        <c:dLbls>
          <c:dLblPos val="outEnd"/>
          <c:showLegendKey val="0"/>
          <c:showVal val="1"/>
          <c:showCatName val="0"/>
          <c:showSerName val="0"/>
          <c:showPercent val="0"/>
          <c:showBubbleSize val="0"/>
        </c:dLbls>
        <c:gapWidth val="182"/>
        <c:axId val="403274088"/>
        <c:axId val="403270168"/>
      </c:barChart>
      <c:catAx>
        <c:axId val="403274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0168"/>
        <c:crosses val="autoZero"/>
        <c:auto val="1"/>
        <c:lblAlgn val="ctr"/>
        <c:lblOffset val="100"/>
        <c:noMultiLvlLbl val="0"/>
      </c:catAx>
      <c:valAx>
        <c:axId val="403270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4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 - MAYO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'12.Cargo'!$B$19</c:f>
              <c:strCache>
                <c:ptCount val="1"/>
                <c:pt idx="0">
                  <c:v>CANTIDAD</c:v>
                </c:pt>
              </c:strCache>
            </c:strRef>
          </c:tx>
          <c:spPr>
            <a:solidFill>
              <a:srgbClr val="009900"/>
            </a:solidFill>
            <a:ln>
              <a:noFill/>
            </a:ln>
            <a:effectLst/>
          </c:spPr>
          <c:invertIfNegative val="0"/>
          <c:dPt>
            <c:idx val="0"/>
            <c:invertIfNegative val="0"/>
            <c:bubble3D val="0"/>
            <c:extLst>
              <c:ext xmlns:c16="http://schemas.microsoft.com/office/drawing/2014/chart" uri="{C3380CC4-5D6E-409C-BE32-E72D297353CC}">
                <c16:uniqueId val="{00000000-7748-4E20-BE40-C5D9DFCDBBA2}"/>
              </c:ext>
            </c:extLst>
          </c:dPt>
          <c:dPt>
            <c:idx val="1"/>
            <c:invertIfNegative val="0"/>
            <c:bubble3D val="0"/>
            <c:extLst>
              <c:ext xmlns:c16="http://schemas.microsoft.com/office/drawing/2014/chart" uri="{C3380CC4-5D6E-409C-BE32-E72D297353CC}">
                <c16:uniqueId val="{00000001-7748-4E20-BE40-C5D9DFCDBBA2}"/>
              </c:ext>
            </c:extLst>
          </c:dPt>
          <c:dPt>
            <c:idx val="2"/>
            <c:invertIfNegative val="0"/>
            <c:bubble3D val="0"/>
            <c:extLst>
              <c:ext xmlns:c16="http://schemas.microsoft.com/office/drawing/2014/chart" uri="{C3380CC4-5D6E-409C-BE32-E72D297353CC}">
                <c16:uniqueId val="{00000002-7748-4E20-BE40-C5D9DFCDBB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'12.Cargo'!$A$20:$A$26</c15:sqref>
                  </c15:fullRef>
                </c:ext>
              </c:extLst>
              <c:f>'12.Cargo'!$A$20:$A$22</c:f>
              <c:strCache>
                <c:ptCount val="3"/>
                <c:pt idx="0">
                  <c:v>Auxiliar de cargue y descargue</c:v>
                </c:pt>
                <c:pt idx="1">
                  <c:v>Auxiliar </c:v>
                </c:pt>
                <c:pt idx="2">
                  <c:v>Operario</c:v>
                </c:pt>
              </c:strCache>
            </c:strRef>
          </c:cat>
          <c:val>
            <c:numRef>
              <c:extLst>
                <c:ext xmlns:c15="http://schemas.microsoft.com/office/drawing/2012/chart" uri="{02D57815-91ED-43cb-92C2-25804820EDAC}">
                  <c15:fullRef>
                    <c15:sqref>'12.Cargo'!$B$20:$B$26</c15:sqref>
                  </c15:fullRef>
                </c:ext>
              </c:extLst>
              <c:f>'12.Cargo'!$B$20:$B$22</c:f>
              <c:numCache>
                <c:formatCode>General</c:formatCode>
                <c:ptCount val="3"/>
                <c:pt idx="0">
                  <c:v>1</c:v>
                </c:pt>
                <c:pt idx="1">
                  <c:v>2</c:v>
                </c:pt>
                <c:pt idx="2">
                  <c:v>1</c:v>
                </c:pt>
              </c:numCache>
            </c:numRef>
          </c:val>
          <c:extLst>
            <c:ext xmlns:c16="http://schemas.microsoft.com/office/drawing/2014/chart" uri="{C3380CC4-5D6E-409C-BE32-E72D297353CC}">
              <c16:uniqueId val="{00000003-7748-4E20-BE40-C5D9DFCDBBA2}"/>
            </c:ext>
          </c:extLst>
        </c:ser>
        <c:dLbls>
          <c:dLblPos val="inEnd"/>
          <c:showLegendKey val="0"/>
          <c:showVal val="1"/>
          <c:showCatName val="0"/>
          <c:showSerName val="0"/>
          <c:showPercent val="0"/>
          <c:showBubbleSize val="0"/>
        </c:dLbls>
        <c:gapWidth val="182"/>
        <c:axId val="403273696"/>
        <c:axId val="403272128"/>
      </c:barChart>
      <c:catAx>
        <c:axId val="40327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2128"/>
        <c:crosses val="autoZero"/>
        <c:auto val="1"/>
        <c:lblAlgn val="ctr"/>
        <c:lblOffset val="100"/>
        <c:noMultiLvlLbl val="0"/>
      </c:catAx>
      <c:valAx>
        <c:axId val="40327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CARGOS - JUNIO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'12.Cargo'!$B$29</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'12.Cargo'!$A$30:$A$36</c15:sqref>
                  </c15:fullRef>
                </c:ext>
              </c:extLst>
              <c:f>'12.Cargo'!$A$32</c:f>
              <c:strCache>
                <c:ptCount val="1"/>
                <c:pt idx="0">
                  <c:v>Operario</c:v>
                </c:pt>
              </c:strCache>
            </c:strRef>
          </c:cat>
          <c:val>
            <c:numRef>
              <c:extLst>
                <c:ext xmlns:c15="http://schemas.microsoft.com/office/drawing/2012/chart" uri="{02D57815-91ED-43cb-92C2-25804820EDAC}">
                  <c15:fullRef>
                    <c15:sqref>'12.Cargo'!$B$30:$B$36</c15:sqref>
                  </c15:fullRef>
                </c:ext>
              </c:extLst>
              <c:f>'12.Cargo'!$B$32</c:f>
              <c:numCache>
                <c:formatCode>General</c:formatCode>
                <c:ptCount val="1"/>
                <c:pt idx="0">
                  <c:v>1</c:v>
                </c:pt>
              </c:numCache>
            </c:numRef>
          </c:val>
          <c:extLst>
            <c:ext xmlns:c16="http://schemas.microsoft.com/office/drawing/2014/chart" uri="{C3380CC4-5D6E-409C-BE32-E72D297353CC}">
              <c16:uniqueId val="{00000000-0A08-4985-BC5E-B082B0DC55A7}"/>
            </c:ext>
          </c:extLst>
        </c:ser>
        <c:dLbls>
          <c:dLblPos val="inEnd"/>
          <c:showLegendKey val="0"/>
          <c:showVal val="1"/>
          <c:showCatName val="0"/>
          <c:showSerName val="0"/>
          <c:showPercent val="0"/>
          <c:showBubbleSize val="0"/>
        </c:dLbls>
        <c:gapWidth val="182"/>
        <c:axId val="403269776"/>
        <c:axId val="403270560"/>
      </c:barChart>
      <c:catAx>
        <c:axId val="40326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0560"/>
        <c:crosses val="autoZero"/>
        <c:auto val="1"/>
        <c:lblAlgn val="ctr"/>
        <c:lblOffset val="100"/>
        <c:noMultiLvlLbl val="0"/>
      </c:catAx>
      <c:valAx>
        <c:axId val="40327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69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CARGOS - JULIO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'12.Cargo'!$B$39</c:f>
              <c:strCache>
                <c:ptCount val="1"/>
                <c:pt idx="0">
                  <c:v>CANTIDAD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'12.Cargo'!$A$40:$A$46</c15:sqref>
                  </c15:fullRef>
                </c:ext>
              </c:extLst>
              <c:f>'12.Cargo'!$A$42</c:f>
              <c:strCache>
                <c:ptCount val="1"/>
                <c:pt idx="0">
                  <c:v>Operario</c:v>
                </c:pt>
              </c:strCache>
            </c:strRef>
          </c:cat>
          <c:val>
            <c:numRef>
              <c:extLst>
                <c:ext xmlns:c15="http://schemas.microsoft.com/office/drawing/2012/chart" uri="{02D57815-91ED-43cb-92C2-25804820EDAC}">
                  <c15:fullRef>
                    <c15:sqref>'12.Cargo'!$B$40:$B$46</c15:sqref>
                  </c15:fullRef>
                </c:ext>
              </c:extLst>
              <c:f>'12.Cargo'!$B$42</c:f>
              <c:numCache>
                <c:formatCode>General</c:formatCode>
                <c:ptCount val="1"/>
                <c:pt idx="0">
                  <c:v>1</c:v>
                </c:pt>
              </c:numCache>
            </c:numRef>
          </c:val>
          <c:extLst>
            <c:ext xmlns:c16="http://schemas.microsoft.com/office/drawing/2014/chart" uri="{C3380CC4-5D6E-409C-BE32-E72D297353CC}">
              <c16:uniqueId val="{00000000-3A89-4E4A-BDB9-021227308F3E}"/>
            </c:ext>
          </c:extLst>
        </c:ser>
        <c:dLbls>
          <c:dLblPos val="inEnd"/>
          <c:showLegendKey val="0"/>
          <c:showVal val="1"/>
          <c:showCatName val="0"/>
          <c:showSerName val="0"/>
          <c:showPercent val="0"/>
          <c:showBubbleSize val="0"/>
        </c:dLbls>
        <c:gapWidth val="182"/>
        <c:axId val="403270952"/>
        <c:axId val="403271344"/>
      </c:barChart>
      <c:catAx>
        <c:axId val="403270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1344"/>
        <c:crosses val="autoZero"/>
        <c:auto val="1"/>
        <c:lblAlgn val="ctr"/>
        <c:lblOffset val="100"/>
        <c:noMultiLvlLbl val="0"/>
      </c:catAx>
      <c:valAx>
        <c:axId val="40327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0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 - SEPTIEMBRE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'12.Cargo'!$B$60:$B$63</c:f>
              <c:strCache>
                <c:ptCount val="4"/>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'12.Cargo'!$A$64:$A$68</c15:sqref>
                  </c15:fullRef>
                </c:ext>
              </c:extLst>
              <c:f>'12.Cargo'!$A$64</c:f>
              <c:strCache>
                <c:ptCount val="1"/>
                <c:pt idx="0">
                  <c:v>Operario de Granja</c:v>
                </c:pt>
              </c:strCache>
            </c:strRef>
          </c:cat>
          <c:val>
            <c:numRef>
              <c:extLst>
                <c:ext xmlns:c15="http://schemas.microsoft.com/office/drawing/2012/chart" uri="{02D57815-91ED-43cb-92C2-25804820EDAC}">
                  <c15:fullRef>
                    <c15:sqref>'12.Cargo'!$B$64:$B$68</c15:sqref>
                  </c15:fullRef>
                </c:ext>
              </c:extLst>
              <c:f>'12.Cargo'!$B$64</c:f>
              <c:numCache>
                <c:formatCode>General</c:formatCode>
                <c:ptCount val="1"/>
                <c:pt idx="0">
                  <c:v>3</c:v>
                </c:pt>
              </c:numCache>
            </c:numRef>
          </c:val>
          <c:extLst>
            <c:ext xmlns:c16="http://schemas.microsoft.com/office/drawing/2014/chart" uri="{C3380CC4-5D6E-409C-BE32-E72D297353CC}">
              <c16:uniqueId val="{00000000-6775-42C2-A5E4-5CEF44F18CCE}"/>
            </c:ext>
          </c:extLst>
        </c:ser>
        <c:dLbls>
          <c:dLblPos val="inEnd"/>
          <c:showLegendKey val="0"/>
          <c:showVal val="1"/>
          <c:showCatName val="0"/>
          <c:showSerName val="0"/>
          <c:showPercent val="0"/>
          <c:showBubbleSize val="0"/>
        </c:dLbls>
        <c:gapWidth val="182"/>
        <c:axId val="403267816"/>
        <c:axId val="403268992"/>
      </c:barChart>
      <c:catAx>
        <c:axId val="403267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68992"/>
        <c:crosses val="autoZero"/>
        <c:auto val="1"/>
        <c:lblAlgn val="ctr"/>
        <c:lblOffset val="100"/>
        <c:noMultiLvlLbl val="0"/>
      </c:catAx>
      <c:valAx>
        <c:axId val="403268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6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 - OCTUBRE</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'12.Cargo'!$B$71:$B$72</c:f>
              <c:strCache>
                <c:ptCount val="2"/>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'12.Cargo'!$A$73:$A$79</c15:sqref>
                  </c15:fullRef>
                </c:ext>
              </c:extLst>
              <c:f>('12.Cargo'!$A$73,'12.Cargo'!$A$75)</c:f>
              <c:strCache>
                <c:ptCount val="2"/>
                <c:pt idx="0">
                  <c:v>Auxiliar </c:v>
                </c:pt>
                <c:pt idx="1">
                  <c:v>Operario de Granja</c:v>
                </c:pt>
              </c:strCache>
            </c:strRef>
          </c:cat>
          <c:val>
            <c:numRef>
              <c:extLst>
                <c:ext xmlns:c15="http://schemas.microsoft.com/office/drawing/2012/chart" uri="{02D57815-91ED-43cb-92C2-25804820EDAC}">
                  <c15:fullRef>
                    <c15:sqref>'12.Cargo'!$B$73:$B$79</c15:sqref>
                  </c15:fullRef>
                </c:ext>
              </c:extLst>
              <c:f>('12.Cargo'!$B$73,'12.Cargo'!$B$75)</c:f>
              <c:numCache>
                <c:formatCode>General</c:formatCode>
                <c:ptCount val="2"/>
                <c:pt idx="0">
                  <c:v>2</c:v>
                </c:pt>
                <c:pt idx="1">
                  <c:v>1</c:v>
                </c:pt>
              </c:numCache>
            </c:numRef>
          </c:val>
          <c:extLst>
            <c:ext xmlns:c16="http://schemas.microsoft.com/office/drawing/2014/chart" uri="{C3380CC4-5D6E-409C-BE32-E72D297353CC}">
              <c16:uniqueId val="{00000000-A91F-4D32-A735-EF7A6618137E}"/>
            </c:ext>
          </c:extLst>
        </c:ser>
        <c:dLbls>
          <c:dLblPos val="inEnd"/>
          <c:showLegendKey val="0"/>
          <c:showVal val="1"/>
          <c:showCatName val="0"/>
          <c:showSerName val="0"/>
          <c:showPercent val="0"/>
          <c:showBubbleSize val="0"/>
        </c:dLbls>
        <c:gapWidth val="182"/>
        <c:axId val="403268600"/>
        <c:axId val="410967360"/>
      </c:barChart>
      <c:catAx>
        <c:axId val="403268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7360"/>
        <c:crosses val="autoZero"/>
        <c:auto val="1"/>
        <c:lblAlgn val="ctr"/>
        <c:lblOffset val="100"/>
        <c:noMultiLvlLbl val="0"/>
      </c:catAx>
      <c:valAx>
        <c:axId val="41096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68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CARGO - NOVIEMBRE</a:t>
            </a:r>
            <a:endParaRPr lang="es-CO"/>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tx>
            <c:strRef>
              <c:f>'12.Cargo'!$B$82:$B$84</c:f>
              <c:strCache>
                <c:ptCount val="3"/>
                <c:pt idx="0">
                  <c:v>CANTIDAD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'12.Cargo'!$A$85:$A$90</c15:sqref>
                  </c15:fullRef>
                </c:ext>
              </c:extLst>
              <c:f>'12.Cargo'!$A$85:$A$86</c:f>
              <c:strCache>
                <c:ptCount val="2"/>
                <c:pt idx="0">
                  <c:v>Operario  </c:v>
                </c:pt>
                <c:pt idx="1">
                  <c:v>Operario de Granja</c:v>
                </c:pt>
              </c:strCache>
            </c:strRef>
          </c:cat>
          <c:val>
            <c:numRef>
              <c:extLst>
                <c:ext xmlns:c15="http://schemas.microsoft.com/office/drawing/2012/chart" uri="{02D57815-91ED-43cb-92C2-25804820EDAC}">
                  <c15:fullRef>
                    <c15:sqref>'12.Cargo'!$B$85:$B$90</c15:sqref>
                  </c15:fullRef>
                </c:ext>
              </c:extLst>
              <c:f>'12.Cargo'!$B$85:$B$86</c:f>
              <c:numCache>
                <c:formatCode>General</c:formatCode>
                <c:ptCount val="2"/>
                <c:pt idx="0">
                  <c:v>2</c:v>
                </c:pt>
                <c:pt idx="1">
                  <c:v>3</c:v>
                </c:pt>
              </c:numCache>
            </c:numRef>
          </c:val>
          <c:extLst>
            <c:ext xmlns:c16="http://schemas.microsoft.com/office/drawing/2014/chart" uri="{C3380CC4-5D6E-409C-BE32-E72D297353CC}">
              <c16:uniqueId val="{00000000-9B7E-4598-BB6D-E498F633F778}"/>
            </c:ext>
          </c:extLst>
        </c:ser>
        <c:dLbls>
          <c:dLblPos val="inEnd"/>
          <c:showLegendKey val="0"/>
          <c:showVal val="1"/>
          <c:showCatName val="0"/>
          <c:showSerName val="0"/>
          <c:showPercent val="0"/>
          <c:showBubbleSize val="0"/>
        </c:dLbls>
        <c:gapWidth val="65"/>
        <c:axId val="410972064"/>
        <c:axId val="410959912"/>
      </c:barChart>
      <c:catAx>
        <c:axId val="4109720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410959912"/>
        <c:crosses val="autoZero"/>
        <c:auto val="1"/>
        <c:lblAlgn val="ctr"/>
        <c:lblOffset val="100"/>
        <c:noMultiLvlLbl val="0"/>
      </c:catAx>
      <c:valAx>
        <c:axId val="4109599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41097206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CARGO - AGOSTO</a:t>
            </a:r>
          </a:p>
        </c:rich>
      </c:tx>
      <c:layout>
        <c:manualLayout>
          <c:xMode val="edge"/>
          <c:yMode val="edge"/>
          <c:x val="0.31276732318274542"/>
          <c:y val="3.0046939470795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'[2]12.Cargo'!$B$49:$B$52</c:f>
              <c:strCache>
                <c:ptCount val="1"/>
                <c:pt idx="0">
                  <c:v>CANTIDAD</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'[2]12.Cargo'!$A$53:$A$57</c15:sqref>
                  </c15:fullRef>
                </c:ext>
              </c:extLst>
              <c:f>('[2]12.Cargo'!$A$53,'[2]12.Cargo'!$A$56)</c:f>
              <c:strCache>
                <c:ptCount val="2"/>
                <c:pt idx="0">
                  <c:v>Operario de Granja</c:v>
                </c:pt>
                <c:pt idx="1">
                  <c:v>Auxiliar de mantenimiento</c:v>
                </c:pt>
              </c:strCache>
            </c:strRef>
          </c:cat>
          <c:val>
            <c:numRef>
              <c:extLst>
                <c:ext xmlns:c15="http://schemas.microsoft.com/office/drawing/2012/chart" uri="{02D57815-91ED-43cb-92C2-25804820EDAC}">
                  <c15:fullRef>
                    <c15:sqref>'[2]12.Cargo'!$B$53:$B$57</c15:sqref>
                  </c15:fullRef>
                </c:ext>
              </c:extLst>
              <c:f>('[2]12.Cargo'!$B$53,'[2]12.Cargo'!$B$56)</c:f>
              <c:numCache>
                <c:formatCode>General</c:formatCode>
                <c:ptCount val="2"/>
                <c:pt idx="0">
                  <c:v>2</c:v>
                </c:pt>
                <c:pt idx="1">
                  <c:v>2</c:v>
                </c:pt>
              </c:numCache>
            </c:numRef>
          </c:val>
          <c:extLst>
            <c:ext xmlns:c16="http://schemas.microsoft.com/office/drawing/2014/chart" uri="{C3380CC4-5D6E-409C-BE32-E72D297353CC}">
              <c16:uniqueId val="{00000000-7842-40FB-8973-A2520828941F}"/>
            </c:ext>
          </c:extLst>
        </c:ser>
        <c:dLbls>
          <c:dLblPos val="inEnd"/>
          <c:showLegendKey val="0"/>
          <c:showVal val="1"/>
          <c:showCatName val="0"/>
          <c:showSerName val="0"/>
          <c:showPercent val="0"/>
          <c:showBubbleSize val="0"/>
        </c:dLbls>
        <c:gapWidth val="182"/>
        <c:axId val="403273304"/>
        <c:axId val="403266640"/>
      </c:barChart>
      <c:catAx>
        <c:axId val="403273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66640"/>
        <c:crosses val="autoZero"/>
        <c:auto val="1"/>
        <c:lblAlgn val="ctr"/>
        <c:lblOffset val="100"/>
        <c:noMultiLvlLbl val="0"/>
      </c:catAx>
      <c:valAx>
        <c:axId val="40326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3273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1" i="1" baseline="0"/>
              <a:t>Ejecucion de Planes de Accion</a:t>
            </a:r>
            <a:endParaRPr lang="es-MX" sz="1400" b="1" i="1"/>
          </a:p>
        </c:rich>
      </c:tx>
      <c:layout>
        <c:manualLayout>
          <c:xMode val="edge"/>
          <c:yMode val="edge"/>
          <c:x val="0.32945268305632269"/>
          <c:y val="3.240729303264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10099759405074367"/>
          <c:y val="0.15782407407407409"/>
          <c:w val="0.87122462817147861"/>
          <c:h val="0.61498432487605714"/>
        </c:manualLayout>
      </c:layout>
      <c:barChart>
        <c:barDir val="col"/>
        <c:grouping val="clustered"/>
        <c:varyColors val="0"/>
        <c:ser>
          <c:idx val="2"/>
          <c:order val="2"/>
          <c:tx>
            <c:strRef>
              <c:f>'13. Ejecu. PA'!$B$19</c:f>
              <c:strCache>
                <c:ptCount val="1"/>
                <c:pt idx="0">
                  <c:v>CUMPLIMIENTO</c:v>
                </c:pt>
              </c:strCache>
            </c:strRef>
          </c:tx>
          <c:spPr>
            <a:solidFill>
              <a:srgbClr val="00B050"/>
            </a:solidFill>
            <a:ln>
              <a:solidFill>
                <a:srgbClr val="00B050"/>
              </a:solidFill>
            </a:ln>
            <a:effectLst/>
          </c:spPr>
          <c:invertIfNegative val="0"/>
          <c:cat>
            <c:strRef>
              <c:extLst>
                <c:ext xmlns:c15="http://schemas.microsoft.com/office/drawing/2012/chart" uri="{02D57815-91ED-43cb-92C2-25804820EDAC}">
                  <c15:fullRef>
                    <c15:sqref>'13. Ejecu. PA'!$C$16:$N$16</c15:sqref>
                  </c15:fullRef>
                </c:ext>
              </c:extLst>
              <c:f>'13. Ejecu. PA'!$C$16:$M$16</c:f>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xmlns:c15="http://schemas.microsoft.com/office/drawing/2012/chart" uri="{02D57815-91ED-43cb-92C2-25804820EDAC}">
                  <c15:fullRef>
                    <c15:sqref>'13. Ejecu. PA'!$C$19:$N$19</c15:sqref>
                  </c15:fullRef>
                </c:ext>
              </c:extLst>
              <c:f>'13. Ejecu. PA'!$C$19:$M$19</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418D-4FD0-A0C2-22CF4EAC28A6}"/>
            </c:ext>
          </c:extLst>
        </c:ser>
        <c:ser>
          <c:idx val="3"/>
          <c:order val="3"/>
          <c:tx>
            <c:strRef>
              <c:f>'13. Ejecu. PA'!$B$20</c:f>
              <c:strCache>
                <c:ptCount val="1"/>
                <c:pt idx="0">
                  <c:v>META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76200" cap="rnd">
                <a:solidFill>
                  <a:schemeClr val="bg1">
                    <a:lumMod val="50000"/>
                  </a:schemeClr>
                </a:solidFill>
                <a:prstDash val="sysDot"/>
              </a:ln>
              <a:effectLst/>
            </c:spPr>
            <c:trendlineType val="linear"/>
            <c:dispRSqr val="0"/>
            <c:dispEq val="0"/>
          </c:trendline>
          <c:cat>
            <c:strRef>
              <c:extLst>
                <c:ext xmlns:c15="http://schemas.microsoft.com/office/drawing/2012/chart" uri="{02D57815-91ED-43cb-92C2-25804820EDAC}">
                  <c15:fullRef>
                    <c15:sqref>'13. Ejecu. PA'!$C$16:$N$16</c15:sqref>
                  </c15:fullRef>
                </c:ext>
              </c:extLst>
              <c:f>'13. Ejecu. PA'!$C$16:$M$16</c:f>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xmlns:c15="http://schemas.microsoft.com/office/drawing/2012/chart" uri="{02D57815-91ED-43cb-92C2-25804820EDAC}">
                  <c15:fullRef>
                    <c15:sqref>'13. Ejecu. PA'!$C$20:$N$20</c15:sqref>
                  </c15:fullRef>
                </c:ext>
              </c:extLst>
              <c:f>'13. Ejecu. PA'!$C$20:$M$20</c:f>
              <c:numCache>
                <c:formatCode>General</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extLst>
            <c:ext xmlns:c16="http://schemas.microsoft.com/office/drawing/2014/chart" uri="{C3380CC4-5D6E-409C-BE32-E72D297353CC}">
              <c16:uniqueId val="{00000002-418D-4FD0-A0C2-22CF4EAC28A6}"/>
            </c:ext>
          </c:extLst>
        </c:ser>
        <c:dLbls>
          <c:showLegendKey val="0"/>
          <c:showVal val="0"/>
          <c:showCatName val="0"/>
          <c:showSerName val="0"/>
          <c:showPercent val="0"/>
          <c:showBubbleSize val="0"/>
        </c:dLbls>
        <c:gapWidth val="219"/>
        <c:overlap val="-27"/>
        <c:axId val="410964224"/>
        <c:axId val="410965400"/>
        <c:extLst>
          <c:ext xmlns:c15="http://schemas.microsoft.com/office/drawing/2012/chart" uri="{02D57815-91ED-43cb-92C2-25804820EDAC}">
            <c15:filteredBarSeries>
              <c15:ser>
                <c:idx val="0"/>
                <c:order val="0"/>
                <c:tx>
                  <c:strRef>
                    <c:extLst>
                      <c:ext uri="{02D57815-91ED-43cb-92C2-25804820EDAC}">
                        <c15:formulaRef>
                          <c15:sqref>'13. Ejecu. PA'!$B$17</c15:sqref>
                        </c15:formulaRef>
                      </c:ext>
                    </c:extLst>
                    <c:strCache>
                      <c:ptCount val="1"/>
                      <c:pt idx="0">
                        <c:v># Plan Acc. Ejec.</c:v>
                      </c:pt>
                    </c:strCache>
                  </c:strRef>
                </c:tx>
                <c:spPr>
                  <a:solidFill>
                    <a:schemeClr val="accent1"/>
                  </a:solidFill>
                  <a:ln>
                    <a:noFill/>
                  </a:ln>
                  <a:effectLst/>
                </c:spPr>
                <c:invertIfNegative val="0"/>
                <c:cat>
                  <c:strRef>
                    <c:extLst>
                      <c:ext uri="{02D57815-91ED-43cb-92C2-25804820EDAC}">
                        <c15:fullRef>
                          <c15:sqref>'13. Ejecu. PA'!$C$16:$N$16</c15:sqref>
                        </c15:fullRef>
                        <c15:formulaRef>
                          <c15:sqref>'13. Ejecu. PA'!$C$16:$M$16</c15:sqref>
                        </c15:formulaRef>
                      </c:ext>
                    </c:extLst>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uri="{02D57815-91ED-43cb-92C2-25804820EDAC}">
                        <c15:fullRef>
                          <c15:sqref>'13. Ejecu. PA'!$C$17:$N$17</c15:sqref>
                        </c15:fullRef>
                        <c15:formulaRef>
                          <c15:sqref>'13. Ejecu. PA'!$C$17:$M$17</c15:sqref>
                        </c15:formulaRef>
                      </c:ext>
                    </c:extLst>
                    <c:numCache>
                      <c:formatCode>General</c:formatCode>
                      <c:ptCount val="11"/>
                      <c:pt idx="0">
                        <c:v>1</c:v>
                      </c:pt>
                    </c:numCache>
                  </c:numRef>
                </c:val>
                <c:extLst>
                  <c:ext xmlns:c16="http://schemas.microsoft.com/office/drawing/2014/chart" uri="{C3380CC4-5D6E-409C-BE32-E72D297353CC}">
                    <c16:uniqueId val="{00000003-418D-4FD0-A0C2-22CF4EAC28A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'13. Ejecu. PA'!$B$18</c15:sqref>
                        </c15:formulaRef>
                      </c:ext>
                    </c:extLst>
                    <c:strCache>
                      <c:ptCount val="1"/>
                      <c:pt idx="0">
                        <c:v># Plan. Acc. Plan.</c:v>
                      </c:pt>
                    </c:strCache>
                  </c:strRef>
                </c:tx>
                <c:spPr>
                  <a:solidFill>
                    <a:schemeClr val="accent2"/>
                  </a:solidFill>
                  <a:ln>
                    <a:noFill/>
                  </a:ln>
                  <a:effectLst/>
                </c:spPr>
                <c:invertIfNegative val="0"/>
                <c:cat>
                  <c:strRef>
                    <c:extLst>
                      <c:ext xmlns:c15="http://schemas.microsoft.com/office/drawing/2012/chart" uri="{02D57815-91ED-43cb-92C2-25804820EDAC}">
                        <c15:fullRef>
                          <c15:sqref>'13. Ejecu. PA'!$C$16:$N$16</c15:sqref>
                        </c15:fullRef>
                        <c15:formulaRef>
                          <c15:sqref>'13. Ejecu. PA'!$C$16:$M$16</c15:sqref>
                        </c15:formulaRef>
                      </c:ext>
                    </c:extLst>
                    <c:strCache>
                      <c:ptCount val="11"/>
                      <c:pt idx="0">
                        <c:v>Ene</c:v>
                      </c:pt>
                      <c:pt idx="1">
                        <c:v>Feb</c:v>
                      </c:pt>
                      <c:pt idx="2">
                        <c:v>Mar</c:v>
                      </c:pt>
                      <c:pt idx="3">
                        <c:v>Abr</c:v>
                      </c:pt>
                      <c:pt idx="4">
                        <c:v>May</c:v>
                      </c:pt>
                      <c:pt idx="5">
                        <c:v>Jun</c:v>
                      </c:pt>
                      <c:pt idx="6">
                        <c:v>Jul</c:v>
                      </c:pt>
                      <c:pt idx="7">
                        <c:v>Ago</c:v>
                      </c:pt>
                      <c:pt idx="8">
                        <c:v>Sept</c:v>
                      </c:pt>
                      <c:pt idx="9">
                        <c:v>Oct</c:v>
                      </c:pt>
                      <c:pt idx="10">
                        <c:v>Nov</c:v>
                      </c:pt>
                    </c:strCache>
                  </c:strRef>
                </c:cat>
                <c:val>
                  <c:numRef>
                    <c:extLst>
                      <c:ext xmlns:c15="http://schemas.microsoft.com/office/drawing/2012/chart" uri="{02D57815-91ED-43cb-92C2-25804820EDAC}">
                        <c15:fullRef>
                          <c15:sqref>'13. Ejecu. PA'!$C$18:$N$18</c15:sqref>
                        </c15:fullRef>
                        <c15:formulaRef>
                          <c15:sqref>'13. Ejecu. PA'!$C$18:$M$18</c15:sqref>
                        </c15:formulaRef>
                      </c:ext>
                    </c:extLst>
                    <c:numCache>
                      <c:formatCode>General</c:formatCode>
                      <c:ptCount val="11"/>
                    </c:numCache>
                  </c:numRef>
                </c:val>
                <c:extLst xmlns:c15="http://schemas.microsoft.com/office/drawing/2012/chart">
                  <c:ext xmlns:c16="http://schemas.microsoft.com/office/drawing/2014/chart" uri="{C3380CC4-5D6E-409C-BE32-E72D297353CC}">
                    <c16:uniqueId val="{00000004-418D-4FD0-A0C2-22CF4EAC28A6}"/>
                  </c:ext>
                </c:extLst>
              </c15:ser>
            </c15:filteredBarSeries>
          </c:ext>
        </c:extLst>
      </c:barChart>
      <c:catAx>
        <c:axId val="4109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5400"/>
        <c:crosses val="autoZero"/>
        <c:auto val="1"/>
        <c:lblAlgn val="ctr"/>
        <c:lblOffset val="100"/>
        <c:noMultiLvlLbl val="0"/>
      </c:catAx>
      <c:valAx>
        <c:axId val="4109654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4224"/>
        <c:crosses val="autoZero"/>
        <c:crossBetween val="between"/>
      </c:valAx>
      <c:spPr>
        <a:noFill/>
        <a:ln>
          <a:noFill/>
        </a:ln>
        <a:effectLst/>
      </c:spPr>
    </c:plotArea>
    <c:legend>
      <c:legendPos val="r"/>
      <c:legendEntry>
        <c:idx val="2"/>
        <c:delete val="1"/>
      </c:legendEntry>
      <c:layout>
        <c:manualLayout>
          <c:xMode val="edge"/>
          <c:yMode val="edge"/>
          <c:x val="0.30539845108704466"/>
          <c:y val="0.85446677003217242"/>
          <c:w val="0.51566664433987253"/>
          <c:h val="0.14066734325286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none" strike="noStrike" kern="1200" spc="0" baseline="0">
                <a:solidFill>
                  <a:schemeClr val="tx1">
                    <a:lumMod val="65000"/>
                    <a:lumOff val="35000"/>
                  </a:schemeClr>
                </a:solidFill>
                <a:latin typeface="+mn-lt"/>
                <a:ea typeface="+mn-ea"/>
                <a:cs typeface="+mn-cs"/>
              </a:defRPr>
            </a:pPr>
            <a:r>
              <a:rPr lang="es-MX" sz="1600" b="1" i="1"/>
              <a:t>Ausentimo</a:t>
            </a:r>
            <a:r>
              <a:rPr lang="es-MX" sz="1600" b="1" i="1" baseline="0"/>
              <a:t> por Enfermedad General</a:t>
            </a:r>
            <a:endParaRPr lang="es-MX" sz="1600" b="1" i="1"/>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4406055363752365E-2"/>
          <c:y val="0.11013150917260016"/>
          <c:w val="0.91076085252342964"/>
          <c:h val="0.72970781002510499"/>
        </c:manualLayout>
      </c:layout>
      <c:barChart>
        <c:barDir val="col"/>
        <c:grouping val="clustered"/>
        <c:varyColors val="0"/>
        <c:ser>
          <c:idx val="0"/>
          <c:order val="0"/>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'15. Ausentismo por EG'!$A$5:$A$16</c15:sqref>
                  </c15:fullRef>
                </c:ext>
              </c:extLst>
              <c:f>'15. Ausentismo por EG'!$A$5:$A$15</c:f>
              <c:strCache>
                <c:ptCount val="11"/>
                <c:pt idx="0">
                  <c:v>ENERO</c:v>
                </c:pt>
                <c:pt idx="1">
                  <c:v>FEBRERO</c:v>
                </c:pt>
                <c:pt idx="2">
                  <c:v>MARZO</c:v>
                </c:pt>
                <c:pt idx="3">
                  <c:v>ABRIL</c:v>
                </c:pt>
                <c:pt idx="4">
                  <c:v>MAYO</c:v>
                </c:pt>
                <c:pt idx="5">
                  <c:v>JUNIO</c:v>
                </c:pt>
                <c:pt idx="6">
                  <c:v>JULIO</c:v>
                </c:pt>
                <c:pt idx="7">
                  <c:v>AGOSTO</c:v>
                </c:pt>
                <c:pt idx="8">
                  <c:v>SEPTIEMBRE</c:v>
                </c:pt>
                <c:pt idx="9">
                  <c:v>OCTUBRE</c:v>
                </c:pt>
                <c:pt idx="10">
                  <c:v>NOVIEMBRE</c:v>
                </c:pt>
              </c:strCache>
            </c:strRef>
          </c:cat>
          <c:val>
            <c:numRef>
              <c:extLst>
                <c:ext xmlns:c15="http://schemas.microsoft.com/office/drawing/2012/chart" uri="{02D57815-91ED-43cb-92C2-25804820EDAC}">
                  <c15:fullRef>
                    <c15:sqref>'15. Ausentismo por EG'!$B$5:$B$16</c15:sqref>
                  </c15:fullRef>
                </c:ext>
              </c:extLst>
              <c:f>'15. Ausentismo por EG'!$B$5:$B$15</c:f>
              <c:numCache>
                <c:formatCode>0</c:formatCode>
                <c:ptCount val="11"/>
                <c:pt idx="0">
                  <c:v>179</c:v>
                </c:pt>
                <c:pt idx="1">
                  <c:v>62</c:v>
                </c:pt>
                <c:pt idx="2">
                  <c:v>96</c:v>
                </c:pt>
                <c:pt idx="3">
                  <c:v>193</c:v>
                </c:pt>
                <c:pt idx="4">
                  <c:v>72</c:v>
                </c:pt>
                <c:pt idx="5">
                  <c:v>95</c:v>
                </c:pt>
                <c:pt idx="6">
                  <c:v>52</c:v>
                </c:pt>
                <c:pt idx="7">
                  <c:v>166</c:v>
                </c:pt>
              </c:numCache>
            </c:numRef>
          </c:val>
          <c:extLst>
            <c:ext xmlns:c16="http://schemas.microsoft.com/office/drawing/2014/chart" uri="{C3380CC4-5D6E-409C-BE32-E72D297353CC}">
              <c16:uniqueId val="{00000000-B6DA-4A8F-A6FB-8B2C675420E0}"/>
            </c:ext>
          </c:extLst>
        </c:ser>
        <c:ser>
          <c:idx val="1"/>
          <c:order val="1"/>
          <c:spPr>
            <a:solidFill>
              <a:srgbClr val="FFFF00"/>
            </a:solidFill>
            <a:ln>
              <a:noFill/>
            </a:ln>
            <a:effectLst/>
          </c:spPr>
          <c:invertIfNegative val="0"/>
          <c:dPt>
            <c:idx val="0"/>
            <c:invertIfNegative val="0"/>
            <c:bubble3D val="0"/>
            <c:spPr>
              <a:solidFill>
                <a:srgbClr val="FFCC00"/>
              </a:solidFill>
              <a:ln>
                <a:noFill/>
              </a:ln>
              <a:effectLst/>
            </c:spPr>
            <c:extLst>
              <c:ext xmlns:c16="http://schemas.microsoft.com/office/drawing/2014/chart" uri="{C3380CC4-5D6E-409C-BE32-E72D297353CC}">
                <c16:uniqueId val="{00000001-5AA4-41C2-9CD3-D7D02CFD617F}"/>
              </c:ext>
            </c:extLst>
          </c:dPt>
          <c:dPt>
            <c:idx val="1"/>
            <c:invertIfNegative val="0"/>
            <c:bubble3D val="0"/>
            <c:spPr>
              <a:solidFill>
                <a:srgbClr val="FFCC00"/>
              </a:solidFill>
              <a:ln>
                <a:noFill/>
              </a:ln>
              <a:effectLst/>
            </c:spPr>
            <c:extLst>
              <c:ext xmlns:c16="http://schemas.microsoft.com/office/drawing/2014/chart" uri="{C3380CC4-5D6E-409C-BE32-E72D297353CC}">
                <c16:uniqueId val="{00000002-5AA4-41C2-9CD3-D7D02CFD617F}"/>
              </c:ext>
            </c:extLst>
          </c:dPt>
          <c:dPt>
            <c:idx val="2"/>
            <c:invertIfNegative val="0"/>
            <c:bubble3D val="0"/>
            <c:spPr>
              <a:solidFill>
                <a:srgbClr val="FFCC00"/>
              </a:solidFill>
              <a:ln>
                <a:noFill/>
              </a:ln>
              <a:effectLst/>
            </c:spPr>
            <c:extLst>
              <c:ext xmlns:c16="http://schemas.microsoft.com/office/drawing/2014/chart" uri="{C3380CC4-5D6E-409C-BE32-E72D297353CC}">
                <c16:uniqueId val="{00000003-5AA4-41C2-9CD3-D7D02CFD617F}"/>
              </c:ext>
            </c:extLst>
          </c:dPt>
          <c:dPt>
            <c:idx val="3"/>
            <c:invertIfNegative val="0"/>
            <c:bubble3D val="0"/>
            <c:spPr>
              <a:solidFill>
                <a:srgbClr val="FFCC00"/>
              </a:solidFill>
              <a:ln>
                <a:noFill/>
              </a:ln>
              <a:effectLst/>
            </c:spPr>
            <c:extLst>
              <c:ext xmlns:c16="http://schemas.microsoft.com/office/drawing/2014/chart" uri="{C3380CC4-5D6E-409C-BE32-E72D297353CC}">
                <c16:uniqueId val="{00000004-5AA4-41C2-9CD3-D7D02CFD617F}"/>
              </c:ext>
            </c:extLst>
          </c:dPt>
          <c:dPt>
            <c:idx val="4"/>
            <c:invertIfNegative val="0"/>
            <c:bubble3D val="0"/>
            <c:spPr>
              <a:solidFill>
                <a:srgbClr val="FFCC00"/>
              </a:solidFill>
              <a:ln>
                <a:noFill/>
              </a:ln>
              <a:effectLst/>
            </c:spPr>
            <c:extLst>
              <c:ext xmlns:c16="http://schemas.microsoft.com/office/drawing/2014/chart" uri="{C3380CC4-5D6E-409C-BE32-E72D297353CC}">
                <c16:uniqueId val="{00000005-5AA4-41C2-9CD3-D7D02CFD617F}"/>
              </c:ext>
            </c:extLst>
          </c:dPt>
          <c:dPt>
            <c:idx val="5"/>
            <c:invertIfNegative val="0"/>
            <c:bubble3D val="0"/>
            <c:spPr>
              <a:solidFill>
                <a:srgbClr val="FFCC00"/>
              </a:solidFill>
              <a:ln>
                <a:noFill/>
              </a:ln>
              <a:effectLst/>
            </c:spPr>
            <c:extLst>
              <c:ext xmlns:c16="http://schemas.microsoft.com/office/drawing/2014/chart" uri="{C3380CC4-5D6E-409C-BE32-E72D297353CC}">
                <c16:uniqueId val="{00000006-5AA4-41C2-9CD3-D7D02CFD617F}"/>
              </c:ext>
            </c:extLst>
          </c:dPt>
          <c:dPt>
            <c:idx val="6"/>
            <c:invertIfNegative val="0"/>
            <c:bubble3D val="0"/>
            <c:spPr>
              <a:solidFill>
                <a:srgbClr val="FFCC00"/>
              </a:solidFill>
              <a:ln>
                <a:noFill/>
              </a:ln>
              <a:effectLst/>
            </c:spPr>
            <c:extLst>
              <c:ext xmlns:c16="http://schemas.microsoft.com/office/drawing/2014/chart" uri="{C3380CC4-5D6E-409C-BE32-E72D297353CC}">
                <c16:uniqueId val="{00000007-5AA4-41C2-9CD3-D7D02CFD617F}"/>
              </c:ext>
            </c:extLst>
          </c:dPt>
          <c:dPt>
            <c:idx val="7"/>
            <c:invertIfNegative val="0"/>
            <c:bubble3D val="0"/>
            <c:spPr>
              <a:solidFill>
                <a:srgbClr val="FFCC00"/>
              </a:solidFill>
              <a:ln>
                <a:noFill/>
              </a:ln>
              <a:effectLst/>
            </c:spPr>
            <c:extLst>
              <c:ext xmlns:c16="http://schemas.microsoft.com/office/drawing/2014/chart" uri="{C3380CC4-5D6E-409C-BE32-E72D297353CC}">
                <c16:uniqueId val="{00000008-5AA4-41C2-9CD3-D7D02CFD617F}"/>
              </c:ext>
            </c:extLst>
          </c:dPt>
          <c:dPt>
            <c:idx val="8"/>
            <c:invertIfNegative val="0"/>
            <c:bubble3D val="0"/>
            <c:spPr>
              <a:solidFill>
                <a:srgbClr val="FFCC00"/>
              </a:solidFill>
              <a:ln>
                <a:noFill/>
              </a:ln>
              <a:effectLst/>
            </c:spPr>
            <c:extLst>
              <c:ext xmlns:c16="http://schemas.microsoft.com/office/drawing/2014/chart" uri="{C3380CC4-5D6E-409C-BE32-E72D297353CC}">
                <c16:uniqueId val="{00000009-5AA4-41C2-9CD3-D7D02CFD617F}"/>
              </c:ext>
            </c:extLst>
          </c:dPt>
          <c:dPt>
            <c:idx val="9"/>
            <c:invertIfNegative val="0"/>
            <c:bubble3D val="0"/>
            <c:spPr>
              <a:solidFill>
                <a:srgbClr val="FFCC00"/>
              </a:solidFill>
              <a:ln>
                <a:noFill/>
              </a:ln>
              <a:effectLst/>
            </c:spPr>
            <c:extLst>
              <c:ext xmlns:c16="http://schemas.microsoft.com/office/drawing/2014/chart" uri="{C3380CC4-5D6E-409C-BE32-E72D297353CC}">
                <c16:uniqueId val="{0000000A-5AA4-41C2-9CD3-D7D02CFD617F}"/>
              </c:ext>
            </c:extLst>
          </c:dPt>
          <c:dPt>
            <c:idx val="10"/>
            <c:invertIfNegative val="0"/>
            <c:bubble3D val="0"/>
            <c:spPr>
              <a:solidFill>
                <a:srgbClr val="FFCC00"/>
              </a:solidFill>
              <a:ln>
                <a:noFill/>
              </a:ln>
              <a:effectLst/>
            </c:spPr>
            <c:extLst>
              <c:ext xmlns:c16="http://schemas.microsoft.com/office/drawing/2014/chart" uri="{C3380CC4-5D6E-409C-BE32-E72D297353CC}">
                <c16:uniqueId val="{0000000B-5AA4-41C2-9CD3-D7D02CFD61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'15. Ausentismo por EG'!$A$5:$A$16</c15:sqref>
                  </c15:fullRef>
                </c:ext>
              </c:extLst>
              <c:f>'15. Ausentismo por EG'!$A$5:$A$15</c:f>
              <c:strCache>
                <c:ptCount val="11"/>
                <c:pt idx="0">
                  <c:v>ENERO</c:v>
                </c:pt>
                <c:pt idx="1">
                  <c:v>FEBRERO</c:v>
                </c:pt>
                <c:pt idx="2">
                  <c:v>MARZO</c:v>
                </c:pt>
                <c:pt idx="3">
                  <c:v>ABRIL</c:v>
                </c:pt>
                <c:pt idx="4">
                  <c:v>MAYO</c:v>
                </c:pt>
                <c:pt idx="5">
                  <c:v>JUNIO</c:v>
                </c:pt>
                <c:pt idx="6">
                  <c:v>JULIO</c:v>
                </c:pt>
                <c:pt idx="7">
                  <c:v>AGOSTO</c:v>
                </c:pt>
                <c:pt idx="8">
                  <c:v>SEPTIEMBRE</c:v>
                </c:pt>
                <c:pt idx="9">
                  <c:v>OCTUBRE</c:v>
                </c:pt>
                <c:pt idx="10">
                  <c:v>NOVIEMBRE</c:v>
                </c:pt>
              </c:strCache>
            </c:strRef>
          </c:cat>
          <c:val>
            <c:numRef>
              <c:extLst>
                <c:ext xmlns:c15="http://schemas.microsoft.com/office/drawing/2012/chart" uri="{02D57815-91ED-43cb-92C2-25804820EDAC}">
                  <c15:fullRef>
                    <c15:sqref>'15. Ausentismo por EG'!$C$5:$C$16</c15:sqref>
                  </c15:fullRef>
                </c:ext>
              </c:extLst>
              <c:f>'15. Ausentismo por EG'!$C$5:$C$15</c:f>
              <c:numCache>
                <c:formatCode>0</c:formatCode>
                <c:ptCount val="11"/>
                <c:pt idx="0">
                  <c:v>15</c:v>
                </c:pt>
                <c:pt idx="1">
                  <c:v>64</c:v>
                </c:pt>
                <c:pt idx="2">
                  <c:v>89</c:v>
                </c:pt>
                <c:pt idx="3">
                  <c:v>126</c:v>
                </c:pt>
                <c:pt idx="4">
                  <c:v>156</c:v>
                </c:pt>
                <c:pt idx="5">
                  <c:v>116</c:v>
                </c:pt>
                <c:pt idx="6">
                  <c:v>148</c:v>
                </c:pt>
                <c:pt idx="7">
                  <c:v>40</c:v>
                </c:pt>
                <c:pt idx="8">
                  <c:v>57</c:v>
                </c:pt>
                <c:pt idx="9">
                  <c:v>68</c:v>
                </c:pt>
                <c:pt idx="10">
                  <c:v>91</c:v>
                </c:pt>
              </c:numCache>
            </c:numRef>
          </c:val>
          <c:extLst>
            <c:ext xmlns:c16="http://schemas.microsoft.com/office/drawing/2014/chart" uri="{C3380CC4-5D6E-409C-BE32-E72D297353CC}">
              <c16:uniqueId val="{00000000-5AA4-41C2-9CD3-D7D02CFD617F}"/>
            </c:ext>
          </c:extLst>
        </c:ser>
        <c:dLbls>
          <c:dLblPos val="outEnd"/>
          <c:showLegendKey val="0"/>
          <c:showVal val="1"/>
          <c:showCatName val="0"/>
          <c:showSerName val="0"/>
          <c:showPercent val="0"/>
          <c:showBubbleSize val="0"/>
        </c:dLbls>
        <c:gapWidth val="219"/>
        <c:overlap val="-27"/>
        <c:axId val="410966576"/>
        <c:axId val="410968928"/>
      </c:barChart>
      <c:catAx>
        <c:axId val="41096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8928"/>
        <c:crosses val="autoZero"/>
        <c:auto val="1"/>
        <c:lblAlgn val="ctr"/>
        <c:lblOffset val="100"/>
        <c:noMultiLvlLbl val="0"/>
      </c:catAx>
      <c:valAx>
        <c:axId val="41096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sz="1600" b="1" i="1" baseline="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s-CO" sz="1600" b="1" i="0" u="none" strike="noStrike" kern="1200" spc="0" baseline="0" dirty="0">
                <a:solidFill>
                  <a:prstClr val="black">
                    <a:lumMod val="65000"/>
                    <a:lumOff val="35000"/>
                  </a:prstClr>
                </a:solidFill>
              </a:rPr>
              <a:t>AUSENTISMO POR RIESGO LABORAL JULIO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s-CO" sz="1600" b="1" i="1" baseline="0"/>
              <a:t> </a:t>
            </a:r>
            <a:endParaRPr lang="es-CO" sz="1600" b="1" i="1"/>
          </a:p>
        </c:rich>
      </c:tx>
      <c:layout>
        <c:manualLayout>
          <c:xMode val="edge"/>
          <c:yMode val="edge"/>
          <c:x val="0.18415266841644795"/>
          <c:y val="4.629629629629629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25774740001816138"/>
          <c:y val="1.6309490204250291E-3"/>
          <c:w val="0.72247800194760869"/>
          <c:h val="0.80696866644293919"/>
        </c:manualLayout>
      </c:layout>
      <c:barChart>
        <c:barDir val="bar"/>
        <c:grouping val="clustered"/>
        <c:varyColors val="0"/>
        <c:ser>
          <c:idx val="1"/>
          <c:order val="1"/>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XXXXXXXXXXXXXXXX!$C$8:$C$14</c15:sqref>
                  </c15:fullRef>
                </c:ext>
              </c:extLst>
              <c:f>XXXXXXXXXXXXXXXX!$C$9</c:f>
              <c:strCache>
                <c:ptCount val="1"/>
                <c:pt idx="0">
                  <c:v>FRACTURA DE LA DIAFISIS DE LA TIBIA </c:v>
                </c:pt>
              </c:strCache>
            </c:strRef>
          </c:cat>
          <c:val>
            <c:numRef>
              <c:extLst>
                <c:ext xmlns:c15="http://schemas.microsoft.com/office/drawing/2012/chart" uri="{02D57815-91ED-43cb-92C2-25804820EDAC}">
                  <c15:fullRef>
                    <c15:sqref>XXXXXXXXXXXXXXXX!$E$8:$E$14</c15:sqref>
                  </c15:fullRef>
                </c:ext>
              </c:extLst>
              <c:f>XXXXXXXXXXXXXXXX!$E$9</c:f>
              <c:numCache>
                <c:formatCode>General</c:formatCode>
                <c:ptCount val="1"/>
                <c:pt idx="0">
                  <c:v>30</c:v>
                </c:pt>
              </c:numCache>
            </c:numRef>
          </c:val>
          <c:extLst>
            <c:ext xmlns:c15="http://schemas.microsoft.com/office/drawing/2012/chart" uri="{02D57815-91ED-43cb-92C2-25804820EDAC}">
              <c15:categoryFilterExceptions>
                <c15:categoryFilterException>
                  <c15:sqref>XXXXXXXXXXXXXXXX!$E$8</c15:sqref>
                  <c15:dLbl>
                    <c:idx val="-1"/>
                    <c:tx>
                      <c:rich>
                        <a:bodyPr/>
                        <a:lstStyle/>
                        <a:p>
                          <a:r>
                            <a:rPr lang="en-US"/>
                            <a:t>3</a:t>
                          </a:r>
                        </a:p>
                      </c:rich>
                    </c:tx>
                    <c:dLblPos val="outEnd"/>
                    <c:showLegendKey val="0"/>
                    <c:showVal val="1"/>
                    <c:showCatName val="0"/>
                    <c:showSerName val="0"/>
                    <c:showPercent val="0"/>
                    <c:showBubbleSize val="0"/>
                    <c:extLst xmlns:c16="http://schemas.microsoft.com/office/drawing/2014/chart">
                      <c:ext uri="{CE6537A1-D6FC-4f65-9D91-7224C49458BB}">
                        <c15:showDataLabelsRange val="0"/>
                      </c:ext>
                      <c:ext xmlns:c16="http://schemas.microsoft.com/office/drawing/2014/chart" uri="{C3380CC4-5D6E-409C-BE32-E72D297353CC}">
                        <c16:uniqueId val="{00000000-1940-47D6-AD0C-F656E2DF8EDA}"/>
                      </c:ext>
                    </c:extLst>
                  </c15:dLbl>
                </c15:categoryFilterException>
                <c15:categoryFilterException>
                  <c15:sqref>XXXXXXXXXXXXXXXX!$E$11</c15:sqref>
                  <c15:dLbl>
                    <c:idx val="0"/>
                    <c:tx>
                      <c:rich>
                        <a:bodyPr/>
                        <a:lstStyle/>
                        <a:p>
                          <a:r>
                            <a:rPr lang="en-US"/>
                            <a:t>4</a:t>
                          </a:r>
                        </a:p>
                      </c:rich>
                    </c:tx>
                    <c:dLblPos val="outEnd"/>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1-1940-47D6-AD0C-F656E2DF8EDA}"/>
                      </c:ext>
                    </c:extLst>
                  </c15:dLbl>
                </c15:categoryFilterException>
              </c15:categoryFilterExceptions>
            </c:ext>
            <c:ext xmlns:c16="http://schemas.microsoft.com/office/drawing/2014/chart" uri="{C3380CC4-5D6E-409C-BE32-E72D297353CC}">
              <c16:uniqueId val="{00000001-1C0A-47A1-87C9-E67B97A51CE9}"/>
            </c:ext>
          </c:extLst>
        </c:ser>
        <c:dLbls>
          <c:dLblPos val="outEnd"/>
          <c:showLegendKey val="0"/>
          <c:showVal val="1"/>
          <c:showCatName val="0"/>
          <c:showSerName val="0"/>
          <c:showPercent val="0"/>
          <c:showBubbleSize val="0"/>
        </c:dLbls>
        <c:gapWidth val="182"/>
        <c:axId val="410969320"/>
        <c:axId val="410963832"/>
        <c:extLst>
          <c:ext xmlns:c15="http://schemas.microsoft.com/office/drawing/2012/chart" uri="{02D57815-91ED-43cb-92C2-25804820EDAC}">
            <c15:filteredBarSeries>
              <c15: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XXXXXXXXXXXXXXXX!$C$8:$C$14</c15:sqref>
                        </c15:fullRef>
                        <c15:formulaRef>
                          <c15:sqref>XXXXXXXXXXXXXXXX!$C$9</c15:sqref>
                        </c15:formulaRef>
                      </c:ext>
                    </c:extLst>
                    <c:strCache>
                      <c:ptCount val="1"/>
                      <c:pt idx="0">
                        <c:v>FRACTURA DE LA DIAFISIS DE LA TIBIA </c:v>
                      </c:pt>
                    </c:strCache>
                  </c:strRef>
                </c:cat>
                <c:val>
                  <c:numRef>
                    <c:extLst>
                      <c:ext uri="{02D57815-91ED-43cb-92C2-25804820EDAC}">
                        <c15:fullRef>
                          <c15:sqref>XXXXXXXXXXXXXXXX!$D$8:$D$14</c15:sqref>
                        </c15:fullRef>
                        <c15:formulaRef>
                          <c15:sqref>XXXXXXXXXXXXXXXX!$D$9</c15:sqref>
                        </c15:formulaRef>
                      </c:ext>
                    </c:extLst>
                    <c:numCache>
                      <c:formatCode>General</c:formatCode>
                      <c:ptCount val="1"/>
                    </c:numCache>
                  </c:numRef>
                </c:val>
                <c:extLst>
                  <c:ext xmlns:c16="http://schemas.microsoft.com/office/drawing/2014/chart" uri="{C3380CC4-5D6E-409C-BE32-E72D297353CC}">
                    <c16:uniqueId val="{00000000-1C0A-47A1-87C9-E67B97A51CE9}"/>
                  </c:ext>
                </c:extLst>
              </c15:ser>
            </c15:filteredBarSeries>
            <c15:filteredBarSeries>
              <c15:ser>
                <c:idx val="2"/>
                <c:order val="2"/>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XXXXXXXXXXXXXXXX!$C$8:$C$14</c15:sqref>
                        </c15:fullRef>
                        <c15:formulaRef>
                          <c15:sqref>XXXXXXXXXXXXXXXX!$C$9</c15:sqref>
                        </c15:formulaRef>
                      </c:ext>
                    </c:extLst>
                    <c:strCache>
                      <c:ptCount val="1"/>
                      <c:pt idx="0">
                        <c:v>FRACTURA DE LA DIAFISIS DE LA TIBIA </c:v>
                      </c:pt>
                    </c:strCache>
                  </c:strRef>
                </c:cat>
                <c:val>
                  <c:numRef>
                    <c:extLst>
                      <c:ext xmlns:c15="http://schemas.microsoft.com/office/drawing/2012/chart" uri="{02D57815-91ED-43cb-92C2-25804820EDAC}">
                        <c15:fullRef>
                          <c15:sqref>XXXXXXXXXXXXXXXX!$F$8:$F$14</c15:sqref>
                        </c15:fullRef>
                        <c15:formulaRef>
                          <c15:sqref>XXXXXXXXXXXXXXXX!$F$9</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C0A-47A1-87C9-E67B97A51CE9}"/>
                  </c:ext>
                </c:extLst>
              </c15:ser>
            </c15:filteredBarSeries>
            <c15:filteredBarSeries>
              <c15:ser>
                <c:idx val="3"/>
                <c:order val="3"/>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XXXXXXXXXXXXXXXX!$C$8:$C$14</c15:sqref>
                        </c15:fullRef>
                        <c15:formulaRef>
                          <c15:sqref>XXXXXXXXXXXXXXXX!$C$9</c15:sqref>
                        </c15:formulaRef>
                      </c:ext>
                    </c:extLst>
                    <c:strCache>
                      <c:ptCount val="1"/>
                      <c:pt idx="0">
                        <c:v>FRACTURA DE LA DIAFISIS DE LA TIBIA </c:v>
                      </c:pt>
                    </c:strCache>
                  </c:strRef>
                </c:cat>
                <c:val>
                  <c:numRef>
                    <c:extLst>
                      <c:ext xmlns:c15="http://schemas.microsoft.com/office/drawing/2012/chart" uri="{02D57815-91ED-43cb-92C2-25804820EDAC}">
                        <c15:fullRef>
                          <c15:sqref>XXXXXXXXXXXXXXXX!$G$8:$G$14</c15:sqref>
                        </c15:fullRef>
                        <c15:formulaRef>
                          <c15:sqref>XXXXXXXXXXXXXXXX!$G$9</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C0A-47A1-87C9-E67B97A51CE9}"/>
                  </c:ext>
                </c:extLst>
              </c15:ser>
            </c15:filteredBarSeries>
          </c:ext>
        </c:extLst>
      </c:barChart>
      <c:catAx>
        <c:axId val="410969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crossAx val="410963832"/>
        <c:crosses val="autoZero"/>
        <c:auto val="1"/>
        <c:lblAlgn val="ctr"/>
        <c:lblOffset val="100"/>
        <c:noMultiLvlLbl val="0"/>
      </c:catAx>
      <c:valAx>
        <c:axId val="410963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9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s-CO" sz="1600" b="1"/>
              <a:t>AUSENTISMO</a:t>
            </a:r>
            <a:r>
              <a:rPr lang="es-CO" sz="1600" b="1" baseline="0"/>
              <a:t> POR ENFERMEDAD GENERAL - AGOSTO  </a:t>
            </a:r>
            <a:endParaRPr lang="es-CO"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[2]XXXXXXXXXXXXXXXX!$C$21:$C$42</c15:sqref>
                  </c15:fullRef>
                </c:ext>
              </c:extLst>
              <c:f>[2]XXXXXXXXXXXXXXXX!$C$21:$C$23</c:f>
              <c:strCache>
                <c:ptCount val="3"/>
                <c:pt idx="0">
                  <c:v>LUXACION DE LA ARTICULACION DEL HOMBRO</c:v>
                </c:pt>
                <c:pt idx="1">
                  <c:v>FRACTURA DE LA EPIFISIS INFERIOR DEL RADIO</c:v>
                </c:pt>
                <c:pt idx="2">
                  <c:v>FRACTURA DE LA DIAFISIS DE LA TIBIA</c:v>
                </c:pt>
              </c:strCache>
            </c:strRef>
          </c:cat>
          <c:val>
            <c:numRef>
              <c:extLst>
                <c:ext xmlns:c15="http://schemas.microsoft.com/office/drawing/2012/chart" uri="{02D57815-91ED-43cb-92C2-25804820EDAC}">
                  <c15:fullRef>
                    <c15:sqref>[2]XXXXXXXXXXXXXXXX!$D$21:$D$42</c15:sqref>
                  </c15:fullRef>
                </c:ext>
              </c:extLst>
              <c:f>[2]XXXXXXXXXXXXXXXX!$D$21:$D$23</c:f>
              <c:numCache>
                <c:formatCode>General</c:formatCode>
                <c:ptCount val="3"/>
                <c:pt idx="0">
                  <c:v>30</c:v>
                </c:pt>
                <c:pt idx="1">
                  <c:v>30</c:v>
                </c:pt>
                <c:pt idx="2">
                  <c:v>30</c:v>
                </c:pt>
              </c:numCache>
            </c:numRef>
          </c:val>
          <c:extLst>
            <c:ext xmlns:c16="http://schemas.microsoft.com/office/drawing/2014/chart" uri="{C3380CC4-5D6E-409C-BE32-E72D297353CC}">
              <c16:uniqueId val="{00000000-1CDE-4E6D-A8E0-F42E8F0BD662}"/>
            </c:ext>
          </c:extLst>
        </c:ser>
        <c:dLbls>
          <c:dLblPos val="outEnd"/>
          <c:showLegendKey val="0"/>
          <c:showVal val="1"/>
          <c:showCatName val="0"/>
          <c:showSerName val="0"/>
          <c:showPercent val="0"/>
          <c:showBubbleSize val="0"/>
        </c:dLbls>
        <c:gapWidth val="182"/>
        <c:axId val="410968536"/>
        <c:axId val="410969712"/>
      </c:barChart>
      <c:catAx>
        <c:axId val="410968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410969712"/>
        <c:crosses val="autoZero"/>
        <c:auto val="1"/>
        <c:lblAlgn val="ctr"/>
        <c:lblOffset val="100"/>
        <c:noMultiLvlLbl val="0"/>
      </c:catAx>
      <c:valAx>
        <c:axId val="41096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096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 Id="rId9" Type="http://schemas.openxmlformats.org/officeDocument/2006/relationships/chart" Target="../charts/chart40.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48.xml"/><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10" Type="http://schemas.openxmlformats.org/officeDocument/2006/relationships/chart" Target="../charts/chart50.xml"/><Relationship Id="rId4" Type="http://schemas.openxmlformats.org/officeDocument/2006/relationships/chart" Target="../charts/chart44.xml"/><Relationship Id="rId9" Type="http://schemas.openxmlformats.org/officeDocument/2006/relationships/chart" Target="../charts/chart49.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58.xml"/><Relationship Id="rId3" Type="http://schemas.openxmlformats.org/officeDocument/2006/relationships/chart" Target="../charts/chart53.xml"/><Relationship Id="rId7" Type="http://schemas.openxmlformats.org/officeDocument/2006/relationships/chart" Target="../charts/chart57.xml"/><Relationship Id="rId2" Type="http://schemas.openxmlformats.org/officeDocument/2006/relationships/chart" Target="../charts/chart52.xml"/><Relationship Id="rId1" Type="http://schemas.openxmlformats.org/officeDocument/2006/relationships/chart" Target="../charts/chart51.xml"/><Relationship Id="rId6" Type="http://schemas.openxmlformats.org/officeDocument/2006/relationships/chart" Target="../charts/chart56.xml"/><Relationship Id="rId5" Type="http://schemas.openxmlformats.org/officeDocument/2006/relationships/chart" Target="../charts/chart55.xml"/><Relationship Id="rId4" Type="http://schemas.openxmlformats.org/officeDocument/2006/relationships/chart" Target="../charts/chart54.xml"/><Relationship Id="rId9" Type="http://schemas.openxmlformats.org/officeDocument/2006/relationships/chart" Target="../charts/chart59.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image" Target="../media/image3.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1</xdr:col>
      <xdr:colOff>119429</xdr:colOff>
      <xdr:row>0</xdr:row>
      <xdr:rowOff>74439</xdr:rowOff>
    </xdr:from>
    <xdr:to>
      <xdr:col>2</xdr:col>
      <xdr:colOff>477049</xdr:colOff>
      <xdr:row>2</xdr:row>
      <xdr:rowOff>93786</xdr:rowOff>
    </xdr:to>
    <xdr:pic>
      <xdr:nvPicPr>
        <xdr:cNvPr id="2" name="Imagen 1"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654" y="74439"/>
          <a:ext cx="1614920" cy="343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57149</xdr:colOff>
      <xdr:row>29</xdr:row>
      <xdr:rowOff>76200</xdr:rowOff>
    </xdr:from>
    <xdr:to>
      <xdr:col>14</xdr:col>
      <xdr:colOff>561974</xdr:colOff>
      <xdr:row>40</xdr:row>
      <xdr:rowOff>66674</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285750</xdr:colOff>
      <xdr:row>1</xdr:row>
      <xdr:rowOff>9525</xdr:rowOff>
    </xdr:from>
    <xdr:ext cx="1259252" cy="542925"/>
    <xdr:pic>
      <xdr:nvPicPr>
        <xdr:cNvPr id="2" name="2 Imagen"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200025"/>
          <a:ext cx="1259252"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oneCellAnchor>
    <xdr:from>
      <xdr:col>1</xdr:col>
      <xdr:colOff>361950</xdr:colOff>
      <xdr:row>34</xdr:row>
      <xdr:rowOff>161925</xdr:rowOff>
    </xdr:from>
    <xdr:ext cx="1413145" cy="503767"/>
    <xdr:pic>
      <xdr:nvPicPr>
        <xdr:cNvPr id="21" name="Imagen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117" y="161925"/>
          <a:ext cx="1413145" cy="503767"/>
        </a:xfrm>
        <a:prstGeom prst="rect">
          <a:avLst/>
        </a:prstGeom>
      </xdr:spPr>
    </xdr:pic>
    <xdr:clientData/>
  </xdr:oneCellAnchor>
  <xdr:oneCellAnchor>
    <xdr:from>
      <xdr:col>11</xdr:col>
      <xdr:colOff>476250</xdr:colOff>
      <xdr:row>34</xdr:row>
      <xdr:rowOff>114300</xdr:rowOff>
    </xdr:from>
    <xdr:ext cx="1441450" cy="713317"/>
    <xdr:pic>
      <xdr:nvPicPr>
        <xdr:cNvPr id="22" name="Imagen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41167" y="8972550"/>
          <a:ext cx="1441450" cy="713317"/>
        </a:xfrm>
        <a:prstGeom prst="rect">
          <a:avLst/>
        </a:prstGeom>
      </xdr:spPr>
    </xdr:pic>
    <xdr:clientData/>
  </xdr:oneCellAnchor>
  <xdr:oneCellAnchor>
    <xdr:from>
      <xdr:col>1</xdr:col>
      <xdr:colOff>361950</xdr:colOff>
      <xdr:row>68</xdr:row>
      <xdr:rowOff>161925</xdr:rowOff>
    </xdr:from>
    <xdr:ext cx="1413145" cy="503767"/>
    <xdr:pic>
      <xdr:nvPicPr>
        <xdr:cNvPr id="23" name="Imagen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117" y="9337675"/>
          <a:ext cx="1413145" cy="503767"/>
        </a:xfrm>
        <a:prstGeom prst="rect">
          <a:avLst/>
        </a:prstGeom>
      </xdr:spPr>
    </xdr:pic>
    <xdr:clientData/>
  </xdr:oneCellAnchor>
  <xdr:oneCellAnchor>
    <xdr:from>
      <xdr:col>11</xdr:col>
      <xdr:colOff>508000</xdr:colOff>
      <xdr:row>68</xdr:row>
      <xdr:rowOff>93133</xdr:rowOff>
    </xdr:from>
    <xdr:ext cx="1441450" cy="713317"/>
    <xdr:pic>
      <xdr:nvPicPr>
        <xdr:cNvPr id="24" name="Imagen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72917" y="16529050"/>
          <a:ext cx="1441450" cy="713317"/>
        </a:xfrm>
        <a:prstGeom prst="rect">
          <a:avLst/>
        </a:prstGeom>
      </xdr:spPr>
    </xdr:pic>
    <xdr:clientData/>
  </xdr:oneCellAnchor>
  <xdr:twoCellAnchor>
    <xdr:from>
      <xdr:col>1</xdr:col>
      <xdr:colOff>63500</xdr:colOff>
      <xdr:row>19</xdr:row>
      <xdr:rowOff>148167</xdr:rowOff>
    </xdr:from>
    <xdr:to>
      <xdr:col>14</xdr:col>
      <xdr:colOff>402167</xdr:colOff>
      <xdr:row>30</xdr:row>
      <xdr:rowOff>0</xdr:rowOff>
    </xdr:to>
    <xdr:graphicFrame macro="">
      <xdr:nvGraphicFramePr>
        <xdr:cNvPr id="32" name="Gráfico 31">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148166</xdr:colOff>
      <xdr:row>87</xdr:row>
      <xdr:rowOff>148166</xdr:rowOff>
    </xdr:from>
    <xdr:to>
      <xdr:col>14</xdr:col>
      <xdr:colOff>571500</xdr:colOff>
      <xdr:row>98</xdr:row>
      <xdr:rowOff>148167</xdr:rowOff>
    </xdr:to>
    <xdr:graphicFrame macro="">
      <xdr:nvGraphicFramePr>
        <xdr:cNvPr id="33" name="Gráfico 32">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148167</xdr:colOff>
      <xdr:row>53</xdr:row>
      <xdr:rowOff>152400</xdr:rowOff>
    </xdr:from>
    <xdr:to>
      <xdr:col>14</xdr:col>
      <xdr:colOff>550333</xdr:colOff>
      <xdr:row>64</xdr:row>
      <xdr:rowOff>158749</xdr:rowOff>
    </xdr:to>
    <xdr:graphicFrame macro="">
      <xdr:nvGraphicFramePr>
        <xdr:cNvPr id="34" name="Gráfico 33">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2" name="Imagen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222250</xdr:colOff>
      <xdr:row>19</xdr:row>
      <xdr:rowOff>222250</xdr:rowOff>
    </xdr:from>
    <xdr:to>
      <xdr:col>14</xdr:col>
      <xdr:colOff>254000</xdr:colOff>
      <xdr:row>30</xdr:row>
      <xdr:rowOff>27517</xdr:rowOff>
    </xdr:to>
    <xdr:graphicFrame macro="">
      <xdr:nvGraphicFramePr>
        <xdr:cNvPr id="4" name="Gráfico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205184</xdr:colOff>
      <xdr:row>1</xdr:row>
      <xdr:rowOff>213520</xdr:rowOff>
    </xdr:from>
    <xdr:to>
      <xdr:col>2</xdr:col>
      <xdr:colOff>1249781</xdr:colOff>
      <xdr:row>3</xdr:row>
      <xdr:rowOff>92076</xdr:rowOff>
    </xdr:to>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3778" y="411958"/>
          <a:ext cx="1411706" cy="493712"/>
        </a:xfrm>
        <a:prstGeom prst="rect">
          <a:avLst/>
        </a:prstGeom>
      </xdr:spPr>
    </xdr:pic>
    <xdr:clientData/>
  </xdr:twoCellAnchor>
  <xdr:twoCellAnchor editAs="oneCell">
    <xdr:from>
      <xdr:col>15</xdr:col>
      <xdr:colOff>287735</xdr:colOff>
      <xdr:row>1</xdr:row>
      <xdr:rowOff>138906</xdr:rowOff>
    </xdr:from>
    <xdr:to>
      <xdr:col>17</xdr:col>
      <xdr:colOff>359966</xdr:colOff>
      <xdr:row>3</xdr:row>
      <xdr:rowOff>237067</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93438" y="337344"/>
          <a:ext cx="1441450" cy="713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391584</xdr:colOff>
      <xdr:row>21</xdr:row>
      <xdr:rowOff>168804</xdr:rowOff>
    </xdr:from>
    <xdr:to>
      <xdr:col>14</xdr:col>
      <xdr:colOff>370417</xdr:colOff>
      <xdr:row>32</xdr:row>
      <xdr:rowOff>31751</xdr:rowOff>
    </xdr:to>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222250</xdr:colOff>
      <xdr:row>21</xdr:row>
      <xdr:rowOff>222250</xdr:rowOff>
    </xdr:from>
    <xdr:to>
      <xdr:col>14</xdr:col>
      <xdr:colOff>254000</xdr:colOff>
      <xdr:row>32</xdr:row>
      <xdr:rowOff>27517</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222250</xdr:colOff>
      <xdr:row>21</xdr:row>
      <xdr:rowOff>222250</xdr:rowOff>
    </xdr:from>
    <xdr:to>
      <xdr:col>14</xdr:col>
      <xdr:colOff>254000</xdr:colOff>
      <xdr:row>32</xdr:row>
      <xdr:rowOff>27517</xdr:rowOff>
    </xdr:to>
    <xdr:graphicFrame macro="">
      <xdr:nvGraphicFramePr>
        <xdr:cNvPr id="4" name="Gráfico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431012</xdr:colOff>
      <xdr:row>2</xdr:row>
      <xdr:rowOff>9525</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222250</xdr:colOff>
      <xdr:row>21</xdr:row>
      <xdr:rowOff>222250</xdr:rowOff>
    </xdr:from>
    <xdr:to>
      <xdr:col>14</xdr:col>
      <xdr:colOff>254000</xdr:colOff>
      <xdr:row>32</xdr:row>
      <xdr:rowOff>27517</xdr:rowOff>
    </xdr:to>
    <xdr:graphicFrame macro="">
      <xdr:nvGraphicFramePr>
        <xdr:cNvPr id="4" name="Gráfico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431012</xdr:colOff>
      <xdr:row>2</xdr:row>
      <xdr:rowOff>9525</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117" y="161925"/>
          <a:ext cx="1413145" cy="503767"/>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91450" y="114300"/>
          <a:ext cx="1428750" cy="704850"/>
        </a:xfrm>
        <a:prstGeom prst="rect">
          <a:avLst/>
        </a:prstGeom>
      </xdr:spPr>
    </xdr:pic>
    <xdr:clientData/>
  </xdr:twoCellAnchor>
  <xdr:twoCellAnchor>
    <xdr:from>
      <xdr:col>1</xdr:col>
      <xdr:colOff>222250</xdr:colOff>
      <xdr:row>21</xdr:row>
      <xdr:rowOff>222250</xdr:rowOff>
    </xdr:from>
    <xdr:to>
      <xdr:col>14</xdr:col>
      <xdr:colOff>254000</xdr:colOff>
      <xdr:row>32</xdr:row>
      <xdr:rowOff>27517</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431012</xdr:colOff>
      <xdr:row>2</xdr:row>
      <xdr:rowOff>9525</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2087"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91450" y="114300"/>
          <a:ext cx="1428750" cy="704850"/>
        </a:xfrm>
        <a:prstGeom prst="rect">
          <a:avLst/>
        </a:prstGeom>
      </xdr:spPr>
    </xdr:pic>
    <xdr:clientData/>
  </xdr:twoCellAnchor>
  <xdr:twoCellAnchor>
    <xdr:from>
      <xdr:col>1</xdr:col>
      <xdr:colOff>590551</xdr:colOff>
      <xdr:row>21</xdr:row>
      <xdr:rowOff>169333</xdr:rowOff>
    </xdr:from>
    <xdr:to>
      <xdr:col>14</xdr:col>
      <xdr:colOff>295276</xdr:colOff>
      <xdr:row>31</xdr:row>
      <xdr:rowOff>313267</xdr:rowOff>
    </xdr:to>
    <xdr:graphicFrame macro="">
      <xdr:nvGraphicFramePr>
        <xdr:cNvPr id="4" name="Gráfico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264583</xdr:colOff>
      <xdr:row>21</xdr:row>
      <xdr:rowOff>116417</xdr:rowOff>
    </xdr:from>
    <xdr:to>
      <xdr:col>14</xdr:col>
      <xdr:colOff>381000</xdr:colOff>
      <xdr:row>32</xdr:row>
      <xdr:rowOff>8996</xdr:rowOff>
    </xdr:to>
    <xdr:graphicFrame macro="">
      <xdr:nvGraphicFramePr>
        <xdr:cNvPr id="4" name="Gráfico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466726</xdr:colOff>
      <xdr:row>14</xdr:row>
      <xdr:rowOff>4762</xdr:rowOff>
    </xdr:from>
    <xdr:to>
      <xdr:col>7</xdr:col>
      <xdr:colOff>295276</xdr:colOff>
      <xdr:row>22</xdr:row>
      <xdr:rowOff>171450</xdr:rowOff>
    </xdr:to>
    <xdr:graphicFrame macro="">
      <xdr:nvGraphicFramePr>
        <xdr:cNvPr id="2" name="Gráfico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428624</xdr:colOff>
      <xdr:row>26</xdr:row>
      <xdr:rowOff>0</xdr:rowOff>
    </xdr:from>
    <xdr:to>
      <xdr:col>7</xdr:col>
      <xdr:colOff>304799</xdr:colOff>
      <xdr:row>36</xdr:row>
      <xdr:rowOff>123825</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409574</xdr:colOff>
      <xdr:row>40</xdr:row>
      <xdr:rowOff>14286</xdr:rowOff>
    </xdr:from>
    <xdr:to>
      <xdr:col>7</xdr:col>
      <xdr:colOff>619125</xdr:colOff>
      <xdr:row>52</xdr:row>
      <xdr:rowOff>0</xdr:rowOff>
    </xdr:to>
    <xdr:graphicFrame macro="">
      <xdr:nvGraphicFramePr>
        <xdr:cNvPr id="4" name="Gráfico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54</xdr:row>
      <xdr:rowOff>180975</xdr:rowOff>
    </xdr:from>
    <xdr:to>
      <xdr:col>8</xdr:col>
      <xdr:colOff>85726</xdr:colOff>
      <xdr:row>67</xdr:row>
      <xdr:rowOff>161925</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447675</xdr:colOff>
      <xdr:row>85</xdr:row>
      <xdr:rowOff>2381</xdr:rowOff>
    </xdr:from>
    <xdr:to>
      <xdr:col>8</xdr:col>
      <xdr:colOff>35718</xdr:colOff>
      <xdr:row>97</xdr:row>
      <xdr:rowOff>130968</xdr:rowOff>
    </xdr:to>
    <xdr:graphicFrame macro="">
      <xdr:nvGraphicFramePr>
        <xdr:cNvPr id="8" name="Gráfico 7">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440530</xdr:colOff>
      <xdr:row>100</xdr:row>
      <xdr:rowOff>15477</xdr:rowOff>
    </xdr:from>
    <xdr:to>
      <xdr:col>8</xdr:col>
      <xdr:colOff>107156</xdr:colOff>
      <xdr:row>113</xdr:row>
      <xdr:rowOff>11907</xdr:rowOff>
    </xdr:to>
    <xdr:graphicFrame macro="">
      <xdr:nvGraphicFramePr>
        <xdr:cNvPr id="9" name="Gráfico 8">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464342</xdr:colOff>
      <xdr:row>115</xdr:row>
      <xdr:rowOff>3570</xdr:rowOff>
    </xdr:from>
    <xdr:to>
      <xdr:col>9</xdr:col>
      <xdr:colOff>619123</xdr:colOff>
      <xdr:row>133</xdr:row>
      <xdr:rowOff>47623</xdr:rowOff>
    </xdr:to>
    <xdr:graphicFrame macro="">
      <xdr:nvGraphicFramePr>
        <xdr:cNvPr id="10" name="Gráfico 9">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375046</xdr:colOff>
      <xdr:row>0</xdr:row>
      <xdr:rowOff>130968</xdr:rowOff>
    </xdr:from>
    <xdr:to>
      <xdr:col>7</xdr:col>
      <xdr:colOff>440531</xdr:colOff>
      <xdr:row>11</xdr:row>
      <xdr:rowOff>47623</xdr:rowOff>
    </xdr:to>
    <xdr:graphicFrame macro="">
      <xdr:nvGraphicFramePr>
        <xdr:cNvPr id="11" name="Gráfico 10">
          <a:extLst>
            <a:ext uri="{FF2B5EF4-FFF2-40B4-BE49-F238E27FC236}">
              <a16:creationId xmlns:a16="http://schemas.microsoft.com/office/drawing/2014/main" id="{9EB17593-E9E3-293B-2504-86EA3C0F5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559593</xdr:colOff>
      <xdr:row>70</xdr:row>
      <xdr:rowOff>83344</xdr:rowOff>
    </xdr:from>
    <xdr:to>
      <xdr:col>8</xdr:col>
      <xdr:colOff>150018</xdr:colOff>
      <xdr:row>82</xdr:row>
      <xdr:rowOff>107157</xdr:rowOff>
    </xdr:to>
    <xdr:graphicFrame macro="">
      <xdr:nvGraphicFramePr>
        <xdr:cNvPr id="5" name="Gráfico 4">
          <a:extLst>
            <a:ext uri="{FF2B5EF4-FFF2-40B4-BE49-F238E27FC236}">
              <a16:creationId xmlns:a16="http://schemas.microsoft.com/office/drawing/2014/main" id="{8DA2B02F-D7E1-48F7-98A9-6941FA5C1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457199</xdr:colOff>
      <xdr:row>0</xdr:row>
      <xdr:rowOff>57150</xdr:rowOff>
    </xdr:from>
    <xdr:to>
      <xdr:col>7</xdr:col>
      <xdr:colOff>523874</xdr:colOff>
      <xdr:row>6</xdr:row>
      <xdr:rowOff>171451</xdr:rowOff>
    </xdr:to>
    <xdr:graphicFrame macro="">
      <xdr:nvGraphicFramePr>
        <xdr:cNvPr id="4" name="Gráfico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409574</xdr:colOff>
      <xdr:row>9</xdr:row>
      <xdr:rowOff>142875</xdr:rowOff>
    </xdr:from>
    <xdr:to>
      <xdr:col>7</xdr:col>
      <xdr:colOff>695325</xdr:colOff>
      <xdr:row>18</xdr:row>
      <xdr:rowOff>133349</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466725</xdr:colOff>
      <xdr:row>20</xdr:row>
      <xdr:rowOff>19051</xdr:rowOff>
    </xdr:from>
    <xdr:to>
      <xdr:col>8</xdr:col>
      <xdr:colOff>1</xdr:colOff>
      <xdr:row>29</xdr:row>
      <xdr:rowOff>0</xdr:rowOff>
    </xdr:to>
    <xdr:graphicFrame macro="">
      <xdr:nvGraphicFramePr>
        <xdr:cNvPr id="3" name="Gráfico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419100</xdr:colOff>
      <xdr:row>31</xdr:row>
      <xdr:rowOff>4761</xdr:rowOff>
    </xdr:from>
    <xdr:to>
      <xdr:col>7</xdr:col>
      <xdr:colOff>678656</xdr:colOff>
      <xdr:row>39</xdr:row>
      <xdr:rowOff>104775</xdr:rowOff>
    </xdr:to>
    <xdr:graphicFrame macro="">
      <xdr:nvGraphicFramePr>
        <xdr:cNvPr id="5" name="Gráfico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419100</xdr:colOff>
      <xdr:row>41</xdr:row>
      <xdr:rowOff>152399</xdr:rowOff>
    </xdr:from>
    <xdr:to>
      <xdr:col>8</xdr:col>
      <xdr:colOff>19050</xdr:colOff>
      <xdr:row>50</xdr:row>
      <xdr:rowOff>123825</xdr:rowOff>
    </xdr:to>
    <xdr:graphicFrame macro="">
      <xdr:nvGraphicFramePr>
        <xdr:cNvPr id="6" name="Gráfico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426244</xdr:colOff>
      <xdr:row>63</xdr:row>
      <xdr:rowOff>173831</xdr:rowOff>
    </xdr:from>
    <xdr:to>
      <xdr:col>8</xdr:col>
      <xdr:colOff>71438</xdr:colOff>
      <xdr:row>72</xdr:row>
      <xdr:rowOff>178594</xdr:rowOff>
    </xdr:to>
    <xdr:graphicFrame macro="">
      <xdr:nvGraphicFramePr>
        <xdr:cNvPr id="8" name="Gráfico 7">
          <a:extLst>
            <a:ext uri="{FF2B5EF4-FFF2-40B4-BE49-F238E27FC236}">
              <a16:creationId xmlns:a16="http://schemas.microsoft.com/office/drawing/2014/main" id="{00000000-0008-0000-0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440531</xdr:colOff>
      <xdr:row>74</xdr:row>
      <xdr:rowOff>182165</xdr:rowOff>
    </xdr:from>
    <xdr:to>
      <xdr:col>8</xdr:col>
      <xdr:colOff>83344</xdr:colOff>
      <xdr:row>84</xdr:row>
      <xdr:rowOff>0</xdr:rowOff>
    </xdr:to>
    <xdr:graphicFrame macro="">
      <xdr:nvGraphicFramePr>
        <xdr:cNvPr id="9" name="Gráfico 8">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428624</xdr:colOff>
      <xdr:row>85</xdr:row>
      <xdr:rowOff>170258</xdr:rowOff>
    </xdr:from>
    <xdr:to>
      <xdr:col>10</xdr:col>
      <xdr:colOff>595311</xdr:colOff>
      <xdr:row>104</xdr:row>
      <xdr:rowOff>23811</xdr:rowOff>
    </xdr:to>
    <xdr:graphicFrame macro="">
      <xdr:nvGraphicFramePr>
        <xdr:cNvPr id="10" name="Gráfico 9">
          <a:extLst>
            <a:ext uri="{FF2B5EF4-FFF2-40B4-BE49-F238E27FC236}">
              <a16:creationId xmlns:a16="http://schemas.microsoft.com/office/drawing/2014/main" id="{00000000-0008-0000-0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267891</xdr:colOff>
      <xdr:row>0</xdr:row>
      <xdr:rowOff>166688</xdr:rowOff>
    </xdr:from>
    <xdr:to>
      <xdr:col>16</xdr:col>
      <xdr:colOff>267891</xdr:colOff>
      <xdr:row>9</xdr:row>
      <xdr:rowOff>166688</xdr:rowOff>
    </xdr:to>
    <xdr:graphicFrame macro="">
      <xdr:nvGraphicFramePr>
        <xdr:cNvPr id="11" name="Gráfico 10">
          <a:extLst>
            <a:ext uri="{FF2B5EF4-FFF2-40B4-BE49-F238E27FC236}">
              <a16:creationId xmlns:a16="http://schemas.microsoft.com/office/drawing/2014/main" id="{26E6C435-244D-70CF-B0CE-DC409BEAC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589342</xdr:colOff>
      <xdr:row>51</xdr:row>
      <xdr:rowOff>51196</xdr:rowOff>
    </xdr:from>
    <xdr:to>
      <xdr:col>8</xdr:col>
      <xdr:colOff>1351342</xdr:colOff>
      <xdr:row>64</xdr:row>
      <xdr:rowOff>44052</xdr:rowOff>
    </xdr:to>
    <xdr:graphicFrame macro="">
      <xdr:nvGraphicFramePr>
        <xdr:cNvPr id="14" name="Gráfico 13">
          <a:extLst>
            <a:ext uri="{FF2B5EF4-FFF2-40B4-BE49-F238E27FC236}">
              <a16:creationId xmlns:a16="http://schemas.microsoft.com/office/drawing/2014/main" id="{702C99BF-F8BD-424B-EA67-A4F48B335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469727</xdr:colOff>
      <xdr:row>0</xdr:row>
      <xdr:rowOff>102819</xdr:rowOff>
    </xdr:from>
    <xdr:to>
      <xdr:col>8</xdr:col>
      <xdr:colOff>730686</xdr:colOff>
      <xdr:row>7</xdr:row>
      <xdr:rowOff>91336</xdr:rowOff>
    </xdr:to>
    <xdr:graphicFrame macro="">
      <xdr:nvGraphicFramePr>
        <xdr:cNvPr id="2" name="Gráfico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499734</xdr:colOff>
      <xdr:row>10</xdr:row>
      <xdr:rowOff>83246</xdr:rowOff>
    </xdr:from>
    <xdr:to>
      <xdr:col>8</xdr:col>
      <xdr:colOff>717637</xdr:colOff>
      <xdr:row>18</xdr:row>
      <xdr:rowOff>169623</xdr:rowOff>
    </xdr:to>
    <xdr:graphicFrame macro="">
      <xdr:nvGraphicFramePr>
        <xdr:cNvPr id="7" name="Gráfico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538879</xdr:colOff>
      <xdr:row>21</xdr:row>
      <xdr:rowOff>24528</xdr:rowOff>
    </xdr:from>
    <xdr:to>
      <xdr:col>8</xdr:col>
      <xdr:colOff>730686</xdr:colOff>
      <xdr:row>30</xdr:row>
      <xdr:rowOff>195718</xdr:rowOff>
    </xdr:to>
    <xdr:graphicFrame macro="">
      <xdr:nvGraphicFramePr>
        <xdr:cNvPr id="3" name="Gráfico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571498</xdr:colOff>
      <xdr:row>33</xdr:row>
      <xdr:rowOff>18006</xdr:rowOff>
    </xdr:from>
    <xdr:to>
      <xdr:col>9</xdr:col>
      <xdr:colOff>247911</xdr:colOff>
      <xdr:row>38</xdr:row>
      <xdr:rowOff>523875</xdr:rowOff>
    </xdr:to>
    <xdr:graphicFrame macro="">
      <xdr:nvGraphicFramePr>
        <xdr:cNvPr id="4" name="Gráfico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545403</xdr:colOff>
      <xdr:row>68</xdr:row>
      <xdr:rowOff>194153</xdr:rowOff>
    </xdr:from>
    <xdr:to>
      <xdr:col>9</xdr:col>
      <xdr:colOff>274006</xdr:colOff>
      <xdr:row>78</xdr:row>
      <xdr:rowOff>117431</xdr:rowOff>
    </xdr:to>
    <xdr:graphicFrame macro="">
      <xdr:nvGraphicFramePr>
        <xdr:cNvPr id="8" name="Gráfico 7">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564974</xdr:colOff>
      <xdr:row>80</xdr:row>
      <xdr:rowOff>187629</xdr:rowOff>
    </xdr:from>
    <xdr:to>
      <xdr:col>9</xdr:col>
      <xdr:colOff>365341</xdr:colOff>
      <xdr:row>91</xdr:row>
      <xdr:rowOff>11907</xdr:rowOff>
    </xdr:to>
    <xdr:graphicFrame macro="">
      <xdr:nvGraphicFramePr>
        <xdr:cNvPr id="9" name="Gráfico 8">
          <a:extLst>
            <a:ext uri="{FF2B5EF4-FFF2-40B4-BE49-F238E27FC236}">
              <a16:creationId xmlns:a16="http://schemas.microsoft.com/office/drawing/2014/main" id="{00000000-0008-0000-0C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559593</xdr:colOff>
      <xdr:row>92</xdr:row>
      <xdr:rowOff>182164</xdr:rowOff>
    </xdr:from>
    <xdr:to>
      <xdr:col>10</xdr:col>
      <xdr:colOff>154780</xdr:colOff>
      <xdr:row>108</xdr:row>
      <xdr:rowOff>23812</xdr:rowOff>
    </xdr:to>
    <xdr:graphicFrame macro="">
      <xdr:nvGraphicFramePr>
        <xdr:cNvPr id="10" name="Gráfico 9">
          <a:extLst>
            <a:ext uri="{FF2B5EF4-FFF2-40B4-BE49-F238E27FC236}">
              <a16:creationId xmlns:a16="http://schemas.microsoft.com/office/drawing/2014/main" id="{00000000-0008-0000-0C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458390</xdr:colOff>
      <xdr:row>44</xdr:row>
      <xdr:rowOff>86915</xdr:rowOff>
    </xdr:from>
    <xdr:to>
      <xdr:col>8</xdr:col>
      <xdr:colOff>458390</xdr:colOff>
      <xdr:row>55</xdr:row>
      <xdr:rowOff>95250</xdr:rowOff>
    </xdr:to>
    <xdr:graphicFrame macro="">
      <xdr:nvGraphicFramePr>
        <xdr:cNvPr id="5" name="Gráfico 4">
          <a:extLst>
            <a:ext uri="{FF2B5EF4-FFF2-40B4-BE49-F238E27FC236}">
              <a16:creationId xmlns:a16="http://schemas.microsoft.com/office/drawing/2014/main" id="{932AB093-F419-7AB9-54E4-69E4FEFB2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250031</xdr:colOff>
      <xdr:row>57</xdr:row>
      <xdr:rowOff>95250</xdr:rowOff>
    </xdr:from>
    <xdr:to>
      <xdr:col>8</xdr:col>
      <xdr:colOff>734111</xdr:colOff>
      <xdr:row>66</xdr:row>
      <xdr:rowOff>189457</xdr:rowOff>
    </xdr:to>
    <xdr:graphicFrame macro="">
      <xdr:nvGraphicFramePr>
        <xdr:cNvPr id="11" name="Gráfico 10">
          <a:extLst>
            <a:ext uri="{FF2B5EF4-FFF2-40B4-BE49-F238E27FC236}">
              <a16:creationId xmlns:a16="http://schemas.microsoft.com/office/drawing/2014/main" id="{9C2635AD-4505-430D-B5C2-A2DEED5C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304800</xdr:colOff>
      <xdr:row>0</xdr:row>
      <xdr:rowOff>166688</xdr:rowOff>
    </xdr:from>
    <xdr:to>
      <xdr:col>7</xdr:col>
      <xdr:colOff>583406</xdr:colOff>
      <xdr:row>9</xdr:row>
      <xdr:rowOff>9526</xdr:rowOff>
    </xdr:to>
    <xdr:graphicFrame macro="">
      <xdr:nvGraphicFramePr>
        <xdr:cNvPr id="2" name="Gráfico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247649</xdr:colOff>
      <xdr:row>12</xdr:row>
      <xdr:rowOff>14287</xdr:rowOff>
    </xdr:from>
    <xdr:to>
      <xdr:col>7</xdr:col>
      <xdr:colOff>552450</xdr:colOff>
      <xdr:row>22</xdr:row>
      <xdr:rowOff>19050</xdr:rowOff>
    </xdr:to>
    <xdr:graphicFrame macro="">
      <xdr:nvGraphicFramePr>
        <xdr:cNvPr id="3" name="Gráfico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261936</xdr:colOff>
      <xdr:row>24</xdr:row>
      <xdr:rowOff>0</xdr:rowOff>
    </xdr:from>
    <xdr:to>
      <xdr:col>7</xdr:col>
      <xdr:colOff>485775</xdr:colOff>
      <xdr:row>33</xdr:row>
      <xdr:rowOff>171450</xdr:rowOff>
    </xdr:to>
    <xdr:graphicFrame macro="">
      <xdr:nvGraphicFramePr>
        <xdr:cNvPr id="4" name="Gráfico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314324</xdr:colOff>
      <xdr:row>37</xdr:row>
      <xdr:rowOff>42862</xdr:rowOff>
    </xdr:from>
    <xdr:to>
      <xdr:col>7</xdr:col>
      <xdr:colOff>571500</xdr:colOff>
      <xdr:row>47</xdr:row>
      <xdr:rowOff>85725</xdr:rowOff>
    </xdr:to>
    <xdr:graphicFrame macro="">
      <xdr:nvGraphicFramePr>
        <xdr:cNvPr id="5" name="Gráfico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314325</xdr:colOff>
      <xdr:row>49</xdr:row>
      <xdr:rowOff>171449</xdr:rowOff>
    </xdr:from>
    <xdr:to>
      <xdr:col>7</xdr:col>
      <xdr:colOff>571501</xdr:colOff>
      <xdr:row>60</xdr:row>
      <xdr:rowOff>133350</xdr:rowOff>
    </xdr:to>
    <xdr:graphicFrame macro="">
      <xdr:nvGraphicFramePr>
        <xdr:cNvPr id="6" name="Gráfico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392907</xdr:colOff>
      <xdr:row>76</xdr:row>
      <xdr:rowOff>2381</xdr:rowOff>
    </xdr:from>
    <xdr:to>
      <xdr:col>7</xdr:col>
      <xdr:colOff>666750</xdr:colOff>
      <xdr:row>86</xdr:row>
      <xdr:rowOff>142875</xdr:rowOff>
    </xdr:to>
    <xdr:graphicFrame macro="">
      <xdr:nvGraphicFramePr>
        <xdr:cNvPr id="8" name="Gráfico 7">
          <a:extLst>
            <a:ext uri="{FF2B5EF4-FFF2-40B4-BE49-F238E27FC236}">
              <a16:creationId xmlns:a16="http://schemas.microsoft.com/office/drawing/2014/main" id="{00000000-0008-0000-0F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452437</xdr:colOff>
      <xdr:row>89</xdr:row>
      <xdr:rowOff>15478</xdr:rowOff>
    </xdr:from>
    <xdr:to>
      <xdr:col>8</xdr:col>
      <xdr:colOff>35718</xdr:colOff>
      <xdr:row>100</xdr:row>
      <xdr:rowOff>11906</xdr:rowOff>
    </xdr:to>
    <xdr:graphicFrame macro="">
      <xdr:nvGraphicFramePr>
        <xdr:cNvPr id="9" name="Gráfico 8">
          <a:extLst>
            <a:ext uri="{FF2B5EF4-FFF2-40B4-BE49-F238E27FC236}">
              <a16:creationId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446484</xdr:colOff>
      <xdr:row>102</xdr:row>
      <xdr:rowOff>15477</xdr:rowOff>
    </xdr:from>
    <xdr:to>
      <xdr:col>9</xdr:col>
      <xdr:colOff>476250</xdr:colOff>
      <xdr:row>119</xdr:row>
      <xdr:rowOff>154780</xdr:rowOff>
    </xdr:to>
    <xdr:graphicFrame macro="">
      <xdr:nvGraphicFramePr>
        <xdr:cNvPr id="10" name="Gráfico 9">
          <a:extLst>
            <a:ext uri="{FF2B5EF4-FFF2-40B4-BE49-F238E27FC236}">
              <a16:creationId xmlns:a16="http://schemas.microsoft.com/office/drawing/2014/main" id="{00000000-0008-0000-0F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197303</xdr:colOff>
      <xdr:row>1</xdr:row>
      <xdr:rowOff>2721</xdr:rowOff>
    </xdr:from>
    <xdr:to>
      <xdr:col>16</xdr:col>
      <xdr:colOff>197303</xdr:colOff>
      <xdr:row>13</xdr:row>
      <xdr:rowOff>92528</xdr:rowOff>
    </xdr:to>
    <xdr:graphicFrame macro="">
      <xdr:nvGraphicFramePr>
        <xdr:cNvPr id="11" name="Gráfico 10">
          <a:extLst>
            <a:ext uri="{FF2B5EF4-FFF2-40B4-BE49-F238E27FC236}">
              <a16:creationId xmlns:a16="http://schemas.microsoft.com/office/drawing/2014/main" id="{6782D04A-7B5A-50BA-096B-3BEDC1264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326571</xdr:colOff>
      <xdr:row>62</xdr:row>
      <xdr:rowOff>176893</xdr:rowOff>
    </xdr:from>
    <xdr:to>
      <xdr:col>7</xdr:col>
      <xdr:colOff>631371</xdr:colOff>
      <xdr:row>73</xdr:row>
      <xdr:rowOff>114981</xdr:rowOff>
    </xdr:to>
    <xdr:graphicFrame macro="">
      <xdr:nvGraphicFramePr>
        <xdr:cNvPr id="12" name="Gráfico 11">
          <a:extLst>
            <a:ext uri="{FF2B5EF4-FFF2-40B4-BE49-F238E27FC236}">
              <a16:creationId xmlns:a16="http://schemas.microsoft.com/office/drawing/2014/main" id="{A5B7122B-854B-4685-A340-1E7D649EC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500063</xdr:colOff>
      <xdr:row>0</xdr:row>
      <xdr:rowOff>64293</xdr:rowOff>
    </xdr:from>
    <xdr:to>
      <xdr:col>6</xdr:col>
      <xdr:colOff>702468</xdr:colOff>
      <xdr:row>6</xdr:row>
      <xdr:rowOff>11906</xdr:rowOff>
    </xdr:to>
    <xdr:graphicFrame macro="">
      <xdr:nvGraphicFramePr>
        <xdr:cNvPr id="3" name="Gráfico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328612</xdr:colOff>
      <xdr:row>8</xdr:row>
      <xdr:rowOff>100013</xdr:rowOff>
    </xdr:from>
    <xdr:to>
      <xdr:col>7</xdr:col>
      <xdr:colOff>76200</xdr:colOff>
      <xdr:row>16</xdr:row>
      <xdr:rowOff>114301</xdr:rowOff>
    </xdr:to>
    <xdr:graphicFrame macro="">
      <xdr:nvGraphicFramePr>
        <xdr:cNvPr id="2" name="Gráfico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300037</xdr:colOff>
      <xdr:row>17</xdr:row>
      <xdr:rowOff>171450</xdr:rowOff>
    </xdr:from>
    <xdr:to>
      <xdr:col>7</xdr:col>
      <xdr:colOff>0</xdr:colOff>
      <xdr:row>25</xdr:row>
      <xdr:rowOff>171450</xdr:rowOff>
    </xdr:to>
    <xdr:graphicFrame macro="">
      <xdr:nvGraphicFramePr>
        <xdr:cNvPr id="4" name="Gráfico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323850</xdr:colOff>
      <xdr:row>28</xdr:row>
      <xdr:rowOff>4761</xdr:rowOff>
    </xdr:from>
    <xdr:to>
      <xdr:col>6</xdr:col>
      <xdr:colOff>752475</xdr:colOff>
      <xdr:row>36</xdr:row>
      <xdr:rowOff>9524</xdr:rowOff>
    </xdr:to>
    <xdr:graphicFrame macro="">
      <xdr:nvGraphicFramePr>
        <xdr:cNvPr id="5" name="Gráfico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285750</xdr:colOff>
      <xdr:row>37</xdr:row>
      <xdr:rowOff>180976</xdr:rowOff>
    </xdr:from>
    <xdr:to>
      <xdr:col>7</xdr:col>
      <xdr:colOff>57150</xdr:colOff>
      <xdr:row>46</xdr:row>
      <xdr:rowOff>9526</xdr:rowOff>
    </xdr:to>
    <xdr:graphicFrame macro="">
      <xdr:nvGraphicFramePr>
        <xdr:cNvPr id="6" name="Gráfico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323849</xdr:colOff>
      <xdr:row>59</xdr:row>
      <xdr:rowOff>9524</xdr:rowOff>
    </xdr:from>
    <xdr:to>
      <xdr:col>7</xdr:col>
      <xdr:colOff>133350</xdr:colOff>
      <xdr:row>67</xdr:row>
      <xdr:rowOff>142875</xdr:rowOff>
    </xdr:to>
    <xdr:graphicFrame macro="">
      <xdr:nvGraphicFramePr>
        <xdr:cNvPr id="8" name="Gráfico 7">
          <a:extLst>
            <a:ext uri="{FF2B5EF4-FFF2-40B4-BE49-F238E27FC236}">
              <a16:creationId xmlns:a16="http://schemas.microsoft.com/office/drawing/2014/main" id="{00000000-0008-0000-1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404812</xdr:colOff>
      <xdr:row>70</xdr:row>
      <xdr:rowOff>15478</xdr:rowOff>
    </xdr:from>
    <xdr:to>
      <xdr:col>7</xdr:col>
      <xdr:colOff>71437</xdr:colOff>
      <xdr:row>79</xdr:row>
      <xdr:rowOff>47625</xdr:rowOff>
    </xdr:to>
    <xdr:graphicFrame macro="">
      <xdr:nvGraphicFramePr>
        <xdr:cNvPr id="9" name="Gráfico 8">
          <a:extLst>
            <a:ext uri="{FF2B5EF4-FFF2-40B4-BE49-F238E27FC236}">
              <a16:creationId xmlns:a16="http://schemas.microsoft.com/office/drawing/2014/main" id="{00000000-0008-0000-1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422671</xdr:colOff>
      <xdr:row>81</xdr:row>
      <xdr:rowOff>3572</xdr:rowOff>
    </xdr:from>
    <xdr:to>
      <xdr:col>8</xdr:col>
      <xdr:colOff>422671</xdr:colOff>
      <xdr:row>95</xdr:row>
      <xdr:rowOff>79772</xdr:rowOff>
    </xdr:to>
    <xdr:graphicFrame macro="">
      <xdr:nvGraphicFramePr>
        <xdr:cNvPr id="10" name="Gráfico 9">
          <a:extLst>
            <a:ext uri="{FF2B5EF4-FFF2-40B4-BE49-F238E27FC236}">
              <a16:creationId xmlns:a16="http://schemas.microsoft.com/office/drawing/2014/main" id="{00000000-0008-0000-1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381001</xdr:colOff>
      <xdr:row>47</xdr:row>
      <xdr:rowOff>130969</xdr:rowOff>
    </xdr:from>
    <xdr:to>
      <xdr:col>7</xdr:col>
      <xdr:colOff>161926</xdr:colOff>
      <xdr:row>56</xdr:row>
      <xdr:rowOff>107157</xdr:rowOff>
    </xdr:to>
    <xdr:graphicFrame macro="">
      <xdr:nvGraphicFramePr>
        <xdr:cNvPr id="12" name="Gráfico 11">
          <a:extLst>
            <a:ext uri="{FF2B5EF4-FFF2-40B4-BE49-F238E27FC236}">
              <a16:creationId xmlns:a16="http://schemas.microsoft.com/office/drawing/2014/main" id="{C93869F6-8BCE-43C1-8015-79ECC7BDC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361950</xdr:colOff>
      <xdr:row>0</xdr:row>
      <xdr:rowOff>161925</xdr:rowOff>
    </xdr:from>
    <xdr:to>
      <xdr:col>2</xdr:col>
      <xdr:colOff>515679</xdr:colOff>
      <xdr:row>2</xdr:row>
      <xdr:rowOff>9525</xdr:rowOff>
    </xdr:to>
    <xdr:pic>
      <xdr:nvPicPr>
        <xdr:cNvPr id="2" name="Imagen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161925"/>
          <a:ext cx="1411029" cy="495300"/>
        </a:xfrm>
        <a:prstGeom prst="rect">
          <a:avLst/>
        </a:prstGeom>
      </xdr:spPr>
    </xdr:pic>
    <xdr:clientData/>
  </xdr:twoCellAnchor>
  <xdr:twoCellAnchor editAs="oneCell">
    <xdr:from>
      <xdr:col>11</xdr:col>
      <xdr:colOff>571500</xdr:colOff>
      <xdr:row>0</xdr:row>
      <xdr:rowOff>114300</xdr:rowOff>
    </xdr:from>
    <xdr:to>
      <xdr:col>14</xdr:col>
      <xdr:colOff>76200</xdr:colOff>
      <xdr:row>2</xdr:row>
      <xdr:rowOff>171450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05725" y="114300"/>
          <a:ext cx="1428750" cy="704850"/>
        </a:xfrm>
        <a:prstGeom prst="rect">
          <a:avLst/>
        </a:prstGeom>
      </xdr:spPr>
    </xdr:pic>
    <xdr:clientData/>
  </xdr:twoCellAnchor>
  <xdr:twoCellAnchor>
    <xdr:from>
      <xdr:col>1</xdr:col>
      <xdr:colOff>264583</xdr:colOff>
      <xdr:row>21</xdr:row>
      <xdr:rowOff>116417</xdr:rowOff>
    </xdr:from>
    <xdr:to>
      <xdr:col>14</xdr:col>
      <xdr:colOff>381000</xdr:colOff>
      <xdr:row>32</xdr:row>
      <xdr:rowOff>8996</xdr:rowOff>
    </xdr:to>
    <xdr:graphicFrame macro="">
      <xdr:nvGraphicFramePr>
        <xdr:cNvPr id="4" name="Gráfico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19747</xdr:colOff>
      <xdr:row>3</xdr:row>
      <xdr:rowOff>213963</xdr:rowOff>
    </xdr:from>
    <xdr:to>
      <xdr:col>8</xdr:col>
      <xdr:colOff>487866</xdr:colOff>
      <xdr:row>20</xdr:row>
      <xdr:rowOff>127774</xdr:rowOff>
    </xdr:to>
    <xdr:graphicFrame macro="">
      <xdr:nvGraphicFramePr>
        <xdr:cNvPr id="4" name="Gráfico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3834492</xdr:colOff>
      <xdr:row>10</xdr:row>
      <xdr:rowOff>308883</xdr:rowOff>
    </xdr:from>
    <xdr:to>
      <xdr:col>8</xdr:col>
      <xdr:colOff>244927</xdr:colOff>
      <xdr:row>22</xdr:row>
      <xdr:rowOff>95250</xdr:rowOff>
    </xdr:to>
    <xdr:graphicFrame macro="">
      <xdr:nvGraphicFramePr>
        <xdr:cNvPr id="4" name="Gráfico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544285</xdr:colOff>
      <xdr:row>21</xdr:row>
      <xdr:rowOff>95250</xdr:rowOff>
    </xdr:from>
    <xdr:to>
      <xdr:col>18</xdr:col>
      <xdr:colOff>96053</xdr:colOff>
      <xdr:row>31</xdr:row>
      <xdr:rowOff>163286</xdr:rowOff>
    </xdr:to>
    <xdr:graphicFrame macro="">
      <xdr:nvGraphicFramePr>
        <xdr:cNvPr id="2" name="Gráfico 1">
          <a:extLst>
            <a:ext uri="{FF2B5EF4-FFF2-40B4-BE49-F238E27FC236}">
              <a16:creationId xmlns:a16="http://schemas.microsoft.com/office/drawing/2014/main" id="{6E0954A9-2621-40C9-8624-6832626FF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sanchez/Documents/1.%20SISTEMA%20INTEGRAL%20DE%20GESTI&#211;N%202022/9.%20EVALUACION%20DESEMPE&#209;O/Medici&#243;n%20y%20Analisis/INDICADORES%20SEMAFORO.xlsx" TargetMode="External"/><Relationship Id="rId1" Type="http://schemas.openxmlformats.org/officeDocument/2006/relationships/externalLinkPath" Target="/Users/Asanchez/Documents/1.%20SISTEMA%20INTEGRAL%20DE%20GESTI&#211;N%202022/9.%20EVALUACION%20DESEMPE&#209;O/Medici&#243;n%20y%20Analisis/INDICADORES%20SEMAFORO.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ISSA%20-%20Indicadores%20Incubadora%20-%202026%20AGOSTO.xlsx" TargetMode="External"/><Relationship Id="rId2" Type="http://schemas.openxmlformats.org/officeDocument/2006/relationships/externalLinkPath" Target="file:///C:\Users\gestorseguridad2\Downloads\ISSA%20-%20Indicadores%20Incubadora%20-%202026%20AGOSTO.xlsx" TargetMode="External"/><Relationship Id="rId1" Type="http://schemas.openxmlformats.org/officeDocument/2006/relationships/externalLinkPath" Target="/Users/gestorseguridad2/Downloads/ISSA%20-%20Indicadores%20Incubadora%20-%202026%20AGOS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ICADORES "/>
      <sheetName val="Hoja1"/>
      <sheetName val="Hoja2"/>
    </sheetNames>
    <sheetDataSet>
      <sheetData sheetId="0"/>
      <sheetData sheetId="1">
        <row r="2">
          <cell r="A2" t="str">
            <v>ROJO</v>
          </cell>
        </row>
        <row r="3">
          <cell r="A3" t="str">
            <v>AMARILLO</v>
          </cell>
        </row>
        <row r="4">
          <cell r="A4" t="str">
            <v>VERDE</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tilla"/>
      <sheetName val="Control de cambios"/>
      <sheetName val="List"/>
      <sheetName val="0. Activos"/>
      <sheetName val="14. # AT x Mes"/>
      <sheetName val="DB_Indicadores"/>
      <sheetName val="1. Tas. Nacional"/>
      <sheetName val="2. Tas. Cauca"/>
      <sheetName val="3. Tas. Santander"/>
      <sheetName val="4. Sev. Nacional"/>
      <sheetName val="5. Sev. Cauca"/>
      <sheetName val="6. Sev. Santander"/>
      <sheetName val="7. Inves. AT"/>
      <sheetName val="9. Parte del cuerpo"/>
      <sheetName val="10. Agente de lesion"/>
      <sheetName val="8. Tipo de lesion"/>
      <sheetName val="11. Mecanismo"/>
      <sheetName val="12.Cargo"/>
      <sheetName val="13. Ejecu. PA"/>
      <sheetName val="15. Ausentismo por EG"/>
      <sheetName val="XXXXXXXXXXXXXXXX"/>
      <sheetName v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71">
          <cell r="B71" t="str">
            <v>CANTIDAD</v>
          </cell>
        </row>
        <row r="72">
          <cell r="A72" t="str">
            <v>Manos</v>
          </cell>
          <cell r="B72">
            <v>3</v>
          </cell>
        </row>
        <row r="73">
          <cell r="A73" t="str">
            <v>Pies</v>
          </cell>
        </row>
        <row r="74">
          <cell r="A74" t="str">
            <v>Miembros inferiores</v>
          </cell>
        </row>
        <row r="75">
          <cell r="A75" t="str">
            <v>Miembros superiores</v>
          </cell>
        </row>
        <row r="76">
          <cell r="A76" t="str">
            <v>Abdomen</v>
          </cell>
        </row>
        <row r="77">
          <cell r="A77" t="str">
            <v>Ojo</v>
          </cell>
        </row>
        <row r="78">
          <cell r="A78" t="str">
            <v>Tronco (incluye espalda, columna vertebral, medula espinal, pelvis)</v>
          </cell>
          <cell r="B78">
            <v>1</v>
          </cell>
        </row>
        <row r="79">
          <cell r="A79" t="str">
            <v>Ubicaciones múltiples</v>
          </cell>
        </row>
        <row r="80">
          <cell r="A80" t="str">
            <v>Cabeza</v>
          </cell>
        </row>
        <row r="81">
          <cell r="A81" t="str">
            <v>Cuello</v>
          </cell>
        </row>
        <row r="82">
          <cell r="A82" t="str">
            <v>Lesiones generales u otras</v>
          </cell>
        </row>
        <row r="83">
          <cell r="A83" t="str">
            <v>TOTAL</v>
          </cell>
          <cell r="B83">
            <v>4</v>
          </cell>
        </row>
      </sheetData>
      <sheetData sheetId="14">
        <row r="54">
          <cell r="B54" t="str">
            <v>CANTIDAD</v>
          </cell>
        </row>
        <row r="55">
          <cell r="A55" t="str">
            <v>Aguja/material cortopunzante</v>
          </cell>
        </row>
        <row r="56">
          <cell r="A56" t="str">
            <v>Ambiente de trabajo (incluye superficies de tránsito y de trabajo, muebles, tejados, en el exterior, interior o subterráneos)</v>
          </cell>
          <cell r="B56">
            <v>1</v>
          </cell>
        </row>
        <row r="57">
          <cell r="A57" t="str">
            <v>Animales (vivos o productos animales)</v>
          </cell>
        </row>
        <row r="58">
          <cell r="A58" t="str">
            <v>Herramientas, implementos o utensilios</v>
          </cell>
          <cell r="B58">
            <v>1</v>
          </cell>
        </row>
        <row r="59">
          <cell r="A59" t="str">
            <v>Maquinas y/o equipos</v>
          </cell>
        </row>
        <row r="60">
          <cell r="A60" t="str">
            <v>Materiales o sustancias</v>
          </cell>
          <cell r="B60">
            <v>1</v>
          </cell>
        </row>
        <row r="61">
          <cell r="A61" t="str">
            <v>Otros agentes no clasificados</v>
          </cell>
          <cell r="B61">
            <v>1</v>
          </cell>
        </row>
        <row r="62">
          <cell r="A62" t="str">
            <v>TOTAL</v>
          </cell>
          <cell r="B62">
            <v>4</v>
          </cell>
        </row>
      </sheetData>
      <sheetData sheetId="15">
        <row r="58">
          <cell r="B58" t="str">
            <v>CANTIDAD</v>
          </cell>
        </row>
        <row r="59">
          <cell r="A59" t="str">
            <v>Efecto del tiempo, del clima u otro relacionado con el ambiente</v>
          </cell>
        </row>
        <row r="60">
          <cell r="A60" t="str">
            <v>Herida</v>
          </cell>
          <cell r="B60">
            <v>2</v>
          </cell>
        </row>
        <row r="61">
          <cell r="A61" t="str">
            <v>Lesiones múltiples</v>
          </cell>
        </row>
        <row r="62">
          <cell r="A62" t="str">
            <v>Fractura</v>
          </cell>
        </row>
        <row r="63">
          <cell r="A63" t="str">
            <v>Torcedura, esguince, desgarro muscular, hernia o laceración de musculo o tendón sin herida (25)</v>
          </cell>
          <cell r="B63">
            <v>2</v>
          </cell>
        </row>
        <row r="64">
          <cell r="A64" t="str">
            <v>Trauma superficial (incluye rasguño, punción o pinchazo y lesión en ojo por cuerpo extraño)</v>
          </cell>
        </row>
        <row r="65">
          <cell r="A65" t="str">
            <v>Golpe, contusión o aplaztamiento</v>
          </cell>
        </row>
        <row r="66">
          <cell r="A66" t="str">
            <v>Envenenamiento o Intoxicación aguda o Alergia</v>
          </cell>
        </row>
        <row r="67">
          <cell r="A67" t="str">
            <v>TOTAL</v>
          </cell>
          <cell r="B67">
            <v>4</v>
          </cell>
        </row>
      </sheetData>
      <sheetData sheetId="16">
        <row r="64">
          <cell r="B64" t="str">
            <v>CANTIDAD</v>
          </cell>
        </row>
        <row r="65">
          <cell r="A65" t="str">
            <v>Caída de objetos</v>
          </cell>
        </row>
        <row r="66">
          <cell r="A66" t="str">
            <v xml:space="preserve">Otro : Impacto disco pulidora </v>
          </cell>
          <cell r="B66">
            <v>1</v>
          </cell>
        </row>
        <row r="67">
          <cell r="A67" t="str">
            <v>Caída de personas</v>
          </cell>
          <cell r="B67">
            <v>1</v>
          </cell>
        </row>
        <row r="68">
          <cell r="A68" t="str">
            <v>Pisadas, choques o golpes</v>
          </cell>
        </row>
        <row r="69">
          <cell r="A69" t="str">
            <v>Sobreesfuerzo, esfuerzo excesivo, o falso movimiento</v>
          </cell>
          <cell r="B69">
            <v>2</v>
          </cell>
        </row>
        <row r="70">
          <cell r="A70" t="str">
            <v>Atrapamientos</v>
          </cell>
        </row>
        <row r="71">
          <cell r="A71" t="str">
            <v>Contacto con mezcla de alimento</v>
          </cell>
        </row>
        <row r="72">
          <cell r="A72" t="str">
            <v>Exposición o contacto con líquidos de precaución universal (líquidos/ secreciones corporales)</v>
          </cell>
        </row>
        <row r="73">
          <cell r="A73" t="str">
            <v>Mordedura-picadura</v>
          </cell>
        </row>
        <row r="74">
          <cell r="A74" t="str">
            <v>TOTAL</v>
          </cell>
          <cell r="B74">
            <v>4</v>
          </cell>
        </row>
      </sheetData>
      <sheetData sheetId="17">
        <row r="49">
          <cell r="B49" t="str">
            <v>CANTIDAD</v>
          </cell>
        </row>
        <row r="53">
          <cell r="A53" t="str">
            <v>Operario de Granja</v>
          </cell>
          <cell r="B53">
            <v>2</v>
          </cell>
        </row>
        <row r="54">
          <cell r="A54" t="str">
            <v>Auxiliar de bodega</v>
          </cell>
        </row>
        <row r="55">
          <cell r="A55" t="str">
            <v>Conductor</v>
          </cell>
        </row>
        <row r="56">
          <cell r="A56" t="str">
            <v>Auxiliar de mantenimiento</v>
          </cell>
          <cell r="B56">
            <v>2</v>
          </cell>
        </row>
        <row r="57">
          <cell r="A57" t="str">
            <v>TOTAL</v>
          </cell>
          <cell r="B57">
            <v>4</v>
          </cell>
        </row>
      </sheetData>
      <sheetData sheetId="18" refreshError="1"/>
      <sheetData sheetId="19" refreshError="1"/>
      <sheetData sheetId="20">
        <row r="21">
          <cell r="C21" t="str">
            <v>LUXACION DE LA ARTICULACION DEL HOMBRO</v>
          </cell>
          <cell r="D21">
            <v>30</v>
          </cell>
        </row>
        <row r="22">
          <cell r="C22" t="str">
            <v>FRACTURA DE LA EPIFISIS INFERIOR DEL RADIO</v>
          </cell>
          <cell r="D22">
            <v>30</v>
          </cell>
        </row>
        <row r="23">
          <cell r="C23" t="str">
            <v>FRACTURA DE LA DIAFISIS DE LA TIBIA</v>
          </cell>
          <cell r="D23">
            <v>30</v>
          </cell>
        </row>
      </sheetData>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3" displayName="Tabla3" ref="A1:B11" totalsRowShown="0" headerRowBorderDxfId="107" tableBorderDxfId="106" totalsRowBorderDxfId="105">
  <autoFilter ref="A1:B11" xr:uid="{00000000-0009-0000-0100-000003000000}"/>
  <tableColumns count="2">
    <tableColumn id="1" xr3:uid="{00000000-0010-0000-0000-000001000000}" name="PARTE DEL CUERPO AFECTADA" dataDxfId="104"/>
    <tableColumn id="2" xr3:uid="{00000000-0010-0000-0000-000002000000}" name="CANTIDAD" dataDxfId="1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a326" displayName="Tabla326" ref="A27:B37" totalsRowShown="0" headerRowBorderDxfId="102" tableBorderDxfId="101" totalsRowBorderDxfId="100">
  <autoFilter ref="A27:B37" xr:uid="{00000000-0009-0000-0100-000005000000}"/>
  <tableColumns count="2">
    <tableColumn id="1" xr3:uid="{00000000-0010-0000-0200-000001000000}" name="PARTE DEL CUERPO AFECTADA" dataDxfId="99"/>
    <tableColumn id="2" xr3:uid="{00000000-0010-0000-0200-000002000000}" name="CANTIDAD" dataDxfId="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a3268" displayName="Tabla3268" ref="A41:B52" totalsRowShown="0" headerRowBorderDxfId="97" tableBorderDxfId="96" totalsRowBorderDxfId="95">
  <autoFilter ref="A41:B52" xr:uid="{00000000-0009-0000-0100-000007000000}"/>
  <tableColumns count="2">
    <tableColumn id="1" xr3:uid="{00000000-0010-0000-0300-000001000000}" name="PARTE DEL CUERPO AFECTADA" dataDxfId="94"/>
    <tableColumn id="2" xr3:uid="{00000000-0010-0000-0300-000002000000}" name="CANTIDAD" dataDxfId="9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a326810" displayName="Tabla326810" ref="A56:B67" totalsRowShown="0" headerRowBorderDxfId="92" tableBorderDxfId="91" totalsRowBorderDxfId="90">
  <autoFilter ref="A56:B67" xr:uid="{00000000-0009-0000-0100-000009000000}"/>
  <tableColumns count="2">
    <tableColumn id="1" xr3:uid="{00000000-0010-0000-0400-000001000000}" name="PARTE DEL CUERPO AFECTADA" dataDxfId="89"/>
    <tableColumn id="2" xr3:uid="{00000000-0010-0000-0400-000002000000}" name="CANTIDAD" dataDxfId="8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Tabla32681012" displayName="Tabla32681012" ref="A71:B82" totalsRowShown="0" headerRowBorderDxfId="87" tableBorderDxfId="86" totalsRowBorderDxfId="85">
  <autoFilter ref="A71:B82" xr:uid="{00000000-0009-0000-0100-00000B000000}"/>
  <tableColumns count="2">
    <tableColumn id="1" xr3:uid="{00000000-0010-0000-0500-000001000000}" name="PARTE DEL CUERPO AFECTADA" dataDxfId="84"/>
    <tableColumn id="2" xr3:uid="{00000000-0010-0000-0500-000002000000}" name="CANTIDAD" dataDxfId="8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6000000}" name="Tabla3268101214" displayName="Tabla3268101214" ref="A86:B97" totalsRowShown="0" headerRowBorderDxfId="82" tableBorderDxfId="81" totalsRowBorderDxfId="80">
  <autoFilter ref="A86:B97" xr:uid="{00000000-0009-0000-0100-00000D000000}"/>
  <tableColumns count="2">
    <tableColumn id="1" xr3:uid="{00000000-0010-0000-0600-000001000000}" name="PARTE DEL CUERPO AFECTADA" dataDxfId="79"/>
    <tableColumn id="2" xr3:uid="{00000000-0010-0000-0600-000002000000}" name="CANTIDAD" dataDxfId="7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7000000}" name="Tabla326810121416" displayName="Tabla326810121416" ref="A101:B112" totalsRowShown="0" headerRowBorderDxfId="77" tableBorderDxfId="76" totalsRowBorderDxfId="75">
  <autoFilter ref="A101:B112" xr:uid="{00000000-0009-0000-0100-00000F000000}"/>
  <tableColumns count="2">
    <tableColumn id="1" xr3:uid="{00000000-0010-0000-0700-000001000000}" name="PARTE DEL CUERPO AFECTADA" dataDxfId="74"/>
    <tableColumn id="2" xr3:uid="{00000000-0010-0000-0700-000002000000}" name="CANTIDAD" dataDxfId="7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Tabla32681012141618" displayName="Tabla32681012141618" ref="A116:B127" totalsRowShown="0" headerRowBorderDxfId="72" tableBorderDxfId="71" totalsRowBorderDxfId="70">
  <autoFilter ref="A116:B127" xr:uid="{00000000-0009-0000-0100-000011000000}"/>
  <tableColumns count="2">
    <tableColumn id="1" xr3:uid="{00000000-0010-0000-0800-000001000000}" name="PARTE DEL CUERPO AFECTADA" dataDxfId="69"/>
    <tableColumn id="2" xr3:uid="{00000000-0010-0000-0800-000002000000}" name="CANTIDAD" dataDxfId="6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32" displayName="Tabla32" ref="A14:B24" totalsRowShown="0" headerRowBorderDxfId="67" tableBorderDxfId="66" totalsRowBorderDxfId="65">
  <autoFilter ref="A14:B24" xr:uid="{00000000-0009-0000-0100-000001000000}"/>
  <tableColumns count="2">
    <tableColumn id="1" xr3:uid="{00000000-0010-0000-0100-000001000000}" name="PARTE DEL CUERPO AFECTADA" dataDxfId="64"/>
    <tableColumn id="2" xr3:uid="{00000000-0010-0000-0100-000002000000}" name="CANTIDAD" dataDxfId="6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3F5CED4-D81C-4C29-89D7-7ABDA9D33010}" name="Tabla330" displayName="Tabla330" ref="I1:J11" totalsRowShown="0" headerRowBorderDxfId="62" tableBorderDxfId="61" totalsRowBorderDxfId="60">
  <autoFilter ref="I1:J11" xr:uid="{03F5CED4-D81C-4C29-89D7-7ABDA9D33010}"/>
  <tableColumns count="2">
    <tableColumn id="1" xr3:uid="{6D883CC3-CEB4-42E8-9B9C-B9442F5E83A6}" name="PARTE DEL CUERPO AFECTADA" dataDxfId="59"/>
    <tableColumn id="2" xr3:uid="{4D9AD043-2E05-4A6C-8352-B639D2E38337}" name="CANTIDAD" dataDxfId="5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053A431-1F10-43B5-84A9-50CEB57DF5B7}" name="Tabla33021" displayName="Tabla33021" ref="I41:J51" totalsRowShown="0" headerRowBorderDxfId="57" tableBorderDxfId="56" totalsRowBorderDxfId="55">
  <autoFilter ref="I41:J51" xr:uid="{5053A431-1F10-43B5-84A9-50CEB57DF5B7}"/>
  <tableColumns count="2">
    <tableColumn id="1" xr3:uid="{EAA14256-C2DE-43E3-9694-4183AC4D1D46}" name="PARTE DEL CUERPO AFECTADA" dataDxfId="54"/>
    <tableColumn id="2" xr3:uid="{A8064BCC-5B87-4D85-8B21-318D98574E21}" name="CANTIDAD" dataDxfId="5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la4" displayName="Tabla4" ref="A1:B9" totalsRowShown="0" headerRowBorderDxfId="52" tableBorderDxfId="51">
  <autoFilter ref="A1:B9" xr:uid="{00000000-0009-0000-0100-000004000000}"/>
  <sortState xmlns:xlrd2="http://schemas.microsoft.com/office/spreadsheetml/2017/richdata2" ref="A2:B8">
    <sortCondition ref="A3:A8"/>
  </sortState>
  <tableColumns count="2">
    <tableColumn id="1" xr3:uid="{00000000-0010-0000-0900-000001000000}" name="AGENTE DE LESION" dataDxfId="50"/>
    <tableColumn id="2" xr3:uid="{00000000-0010-0000-0900-000002000000}" name="CANTIDAD" dataDxfId="4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A000000}" name="Tabla43" displayName="Tabla43" ref="A11:B19" totalsRowShown="0" headerRowBorderDxfId="48" tableBorderDxfId="47">
  <autoFilter ref="A11:B19" xr:uid="{00000000-0009-0000-0100-000002000000}"/>
  <sortState xmlns:xlrd2="http://schemas.microsoft.com/office/spreadsheetml/2017/richdata2" ref="A12:B18">
    <sortCondition ref="A3:A8"/>
  </sortState>
  <tableColumns count="2">
    <tableColumn id="1" xr3:uid="{00000000-0010-0000-0A00-000001000000}" name="AGENTE DE LESION" dataDxfId="46"/>
    <tableColumn id="2" xr3:uid="{00000000-0010-0000-0A00-000002000000}" name="CANTIDAD" dataDxfId="4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abla437" displayName="Tabla437" ref="A21:B29" totalsRowShown="0" headerRowBorderDxfId="44" tableBorderDxfId="43">
  <autoFilter ref="A21:B29" xr:uid="{00000000-0009-0000-0100-000006000000}"/>
  <sortState xmlns:xlrd2="http://schemas.microsoft.com/office/spreadsheetml/2017/richdata2" ref="A22:B28">
    <sortCondition ref="A3:A8"/>
  </sortState>
  <tableColumns count="2">
    <tableColumn id="1" xr3:uid="{00000000-0010-0000-0B00-000001000000}" name="AGENTE DE LESION" dataDxfId="42"/>
    <tableColumn id="2" xr3:uid="{00000000-0010-0000-0B00-000002000000}" name="CANTIDAD" dataDxfId="4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C000000}" name="Tabla4379" displayName="Tabla4379" ref="A32:B40" totalsRowShown="0" headerRowBorderDxfId="40" tableBorderDxfId="39">
  <autoFilter ref="A32:B40" xr:uid="{00000000-0009-0000-0100-000008000000}"/>
  <sortState xmlns:xlrd2="http://schemas.microsoft.com/office/spreadsheetml/2017/richdata2" ref="A33:B39">
    <sortCondition ref="A3:A8"/>
  </sortState>
  <tableColumns count="2">
    <tableColumn id="1" xr3:uid="{00000000-0010-0000-0C00-000001000000}" name="AGENTE DE LESION" dataDxfId="38"/>
    <tableColumn id="2" xr3:uid="{00000000-0010-0000-0C00-000002000000}" name="CANTIDAD" dataDxfId="3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a43791113" displayName="Tabla43791113" ref="A54:B62" totalsRowShown="0" headerRowBorderDxfId="36" tableBorderDxfId="35">
  <autoFilter ref="A54:B62" xr:uid="{00000000-0009-0000-0100-00000C000000}"/>
  <sortState xmlns:xlrd2="http://schemas.microsoft.com/office/spreadsheetml/2017/richdata2" ref="A55:B61">
    <sortCondition ref="A3:A8"/>
  </sortState>
  <tableColumns count="2">
    <tableColumn id="1" xr3:uid="{00000000-0010-0000-0D00-000001000000}" name="AGENTE DE LESION" dataDxfId="34"/>
    <tableColumn id="2" xr3:uid="{00000000-0010-0000-0D00-000002000000}" name="CANTIDAD" dataDxfId="3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abla437911" displayName="Tabla437911" ref="A43:B51" totalsRowShown="0" headerRowBorderDxfId="32" tableBorderDxfId="31">
  <autoFilter ref="A43:B51" xr:uid="{00000000-0009-0000-0100-00000A000000}"/>
  <sortState xmlns:xlrd2="http://schemas.microsoft.com/office/spreadsheetml/2017/richdata2" ref="A44:B50">
    <sortCondition ref="A3:A8"/>
  </sortState>
  <tableColumns count="2">
    <tableColumn id="1" xr3:uid="{00000000-0010-0000-0E00-000001000000}" name="AGENTE DE LESION" dataDxfId="30"/>
    <tableColumn id="2" xr3:uid="{00000000-0010-0000-0E00-000002000000}" name="CANTIDAD" dataDxfId="2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F000000}" name="Tabla4379111315" displayName="Tabla4379111315" ref="A65:B73" totalsRowShown="0" headerRowBorderDxfId="28" tableBorderDxfId="27">
  <autoFilter ref="A65:B73" xr:uid="{00000000-0009-0000-0100-00000E000000}"/>
  <sortState xmlns:xlrd2="http://schemas.microsoft.com/office/spreadsheetml/2017/richdata2" ref="A66:B72">
    <sortCondition ref="A3:A8"/>
  </sortState>
  <tableColumns count="2">
    <tableColumn id="1" xr3:uid="{00000000-0010-0000-0F00-000001000000}" name="AGENTE DE LESION" dataDxfId="26"/>
    <tableColumn id="2" xr3:uid="{00000000-0010-0000-0F00-000002000000}" name="CANTIDAD" dataDxfId="2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a437911131517" displayName="Tabla437911131517" ref="A76:B84" totalsRowShown="0" headerRowBorderDxfId="24" tableBorderDxfId="23">
  <autoFilter ref="A76:B84" xr:uid="{00000000-0009-0000-0100-000010000000}"/>
  <sortState xmlns:xlrd2="http://schemas.microsoft.com/office/spreadsheetml/2017/richdata2" ref="A77:B83">
    <sortCondition ref="A3:A8"/>
  </sortState>
  <tableColumns count="2">
    <tableColumn id="1" xr3:uid="{00000000-0010-0000-1000-000001000000}" name="AGENTE DE LESION" dataDxfId="22"/>
    <tableColumn id="2" xr3:uid="{00000000-0010-0000-1000-000002000000}" name="CANTIDAD" dataDxfId="2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a43791113151719" displayName="Tabla43791113151719" ref="A87:B95" totalsRowShown="0" headerRowBorderDxfId="20" tableBorderDxfId="19">
  <autoFilter ref="A87:B95" xr:uid="{00000000-0009-0000-0100-000012000000}"/>
  <sortState xmlns:xlrd2="http://schemas.microsoft.com/office/spreadsheetml/2017/richdata2" ref="A88:B94">
    <sortCondition ref="A3:A8"/>
  </sortState>
  <tableColumns count="2">
    <tableColumn id="1" xr3:uid="{00000000-0010-0000-1100-000001000000}" name="AGENTE DE LESION" dataDxfId="18"/>
    <tableColumn id="2" xr3:uid="{00000000-0010-0000-1100-000002000000}" name="CANTIDAD" dataDxfId="1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AF9267-1E24-4144-B0C6-664E4BBA0B02}" name="Tabla423" displayName="Tabla423" ref="I1:J9" totalsRowShown="0" headerRowBorderDxfId="16" tableBorderDxfId="15">
  <autoFilter ref="I1:J9" xr:uid="{75AF9267-1E24-4144-B0C6-664E4BBA0B02}"/>
  <sortState xmlns:xlrd2="http://schemas.microsoft.com/office/spreadsheetml/2017/richdata2" ref="I2:J8">
    <sortCondition ref="I3:I8"/>
  </sortState>
  <tableColumns count="2">
    <tableColumn id="1" xr3:uid="{22CBC20A-D80F-4104-AF5A-64F0B7F94D1A}" name="AGENTE DE LESION" dataDxfId="14"/>
    <tableColumn id="2" xr3:uid="{C3AF8A34-104B-4286-964C-1F306E0D983B}" name="CANTIDAD" dataDxfId="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D60E09B-C56B-4393-8E57-0A344DF38A00}" name="Tabla42322" displayName="Tabla42322" ref="I32:J40" totalsRowShown="0" headerRowBorderDxfId="12" tableBorderDxfId="11">
  <autoFilter ref="I32:J40" xr:uid="{AD60E09B-C56B-4393-8E57-0A344DF38A00}"/>
  <sortState xmlns:xlrd2="http://schemas.microsoft.com/office/spreadsheetml/2017/richdata2" ref="I33:J39">
    <sortCondition ref="I3:I8"/>
  </sortState>
  <tableColumns count="2">
    <tableColumn id="1" xr3:uid="{2731D5EB-EB70-4242-A037-D21624D47462}" name="AGENTE DE LESION" dataDxfId="10"/>
    <tableColumn id="2" xr3:uid="{09467FEA-8037-4C10-9E2C-5C1155A2BACD}" name="CANTIDAD" dataDxfId="9"/>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13.xml"/><Relationship Id="rId1" Type="http://schemas.openxmlformats.org/officeDocument/2006/relationships/printerSettings" Target="../printerSettings/printerSettings9.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drawing" Target="../drawings/drawing14.xml"/><Relationship Id="rId1" Type="http://schemas.openxmlformats.org/officeDocument/2006/relationships/printerSettings" Target="../printerSettings/printerSettings10.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G47"/>
  <sheetViews>
    <sheetView zoomScaleNormal="100" workbookViewId="0">
      <selection activeCell="R11" sqref="R11"/>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12.75" customHeight="1">
      <c r="B1" s="290"/>
      <c r="C1" s="291"/>
      <c r="D1" s="310" t="s">
        <v>32</v>
      </c>
      <c r="E1" s="311"/>
      <c r="F1" s="311"/>
      <c r="G1" s="311"/>
      <c r="H1" s="311"/>
      <c r="I1" s="311"/>
      <c r="J1" s="311"/>
      <c r="K1" s="312"/>
      <c r="L1" s="313" t="s">
        <v>33</v>
      </c>
      <c r="M1" s="314"/>
      <c r="N1" s="315" t="s">
        <v>34</v>
      </c>
      <c r="O1" s="316"/>
      <c r="Q1" s="2"/>
      <c r="R1" s="307"/>
      <c r="S1" s="307"/>
      <c r="T1" s="307"/>
      <c r="U1" s="307"/>
      <c r="V1" s="307"/>
      <c r="W1" s="307"/>
      <c r="X1" s="307"/>
      <c r="Y1" s="307"/>
      <c r="Z1" s="307"/>
      <c r="AA1" s="307"/>
      <c r="AB1" s="307"/>
      <c r="AC1" s="296"/>
      <c r="AD1" s="296"/>
      <c r="AE1" s="283"/>
      <c r="AF1" s="283"/>
      <c r="AG1" s="283"/>
    </row>
    <row r="2" spans="2:33" ht="12.75" customHeight="1">
      <c r="B2" s="292"/>
      <c r="C2" s="293"/>
      <c r="D2" s="297" t="s">
        <v>31</v>
      </c>
      <c r="E2" s="298"/>
      <c r="F2" s="298"/>
      <c r="G2" s="298"/>
      <c r="H2" s="298"/>
      <c r="I2" s="298"/>
      <c r="J2" s="298"/>
      <c r="K2" s="299"/>
      <c r="L2" s="303" t="s">
        <v>35</v>
      </c>
      <c r="M2" s="304"/>
      <c r="N2" s="305">
        <v>3</v>
      </c>
      <c r="O2" s="306"/>
      <c r="Q2" s="2"/>
      <c r="R2" s="307"/>
      <c r="S2" s="307"/>
      <c r="T2" s="307"/>
      <c r="U2" s="307"/>
      <c r="V2" s="307"/>
      <c r="W2" s="307"/>
      <c r="X2" s="307"/>
      <c r="Y2" s="307"/>
      <c r="Z2" s="307"/>
      <c r="AA2" s="307"/>
      <c r="AB2" s="307"/>
      <c r="AC2" s="296"/>
      <c r="AD2" s="296"/>
      <c r="AE2" s="283"/>
      <c r="AF2" s="283"/>
      <c r="AG2" s="283"/>
    </row>
    <row r="3" spans="2:33" ht="12.75" customHeight="1">
      <c r="B3" s="294"/>
      <c r="C3" s="295"/>
      <c r="D3" s="300"/>
      <c r="E3" s="301"/>
      <c r="F3" s="301"/>
      <c r="G3" s="301"/>
      <c r="H3" s="301"/>
      <c r="I3" s="301"/>
      <c r="J3" s="301"/>
      <c r="K3" s="302"/>
      <c r="L3" s="303" t="s">
        <v>36</v>
      </c>
      <c r="M3" s="304"/>
      <c r="N3" s="308">
        <v>45099</v>
      </c>
      <c r="O3" s="309"/>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288" t="s">
        <v>107</v>
      </c>
      <c r="E5" s="288"/>
      <c r="F5" s="288"/>
      <c r="G5" s="288"/>
      <c r="H5" s="287" t="s">
        <v>1</v>
      </c>
      <c r="I5" s="287"/>
      <c r="J5" s="289" t="str">
        <f>+VLOOKUP(D5,List!G:I,3,)</f>
        <v>Sandra Enriquez</v>
      </c>
      <c r="K5" s="289"/>
      <c r="L5" s="289"/>
      <c r="M5" s="289"/>
      <c r="N5" s="289"/>
      <c r="O5" s="9"/>
    </row>
    <row r="6" spans="2:33" ht="14.25" customHeight="1" thickBot="1">
      <c r="B6" s="6"/>
      <c r="C6" s="7"/>
      <c r="D6" s="7"/>
      <c r="E6" s="7"/>
      <c r="F6" s="7"/>
      <c r="G6" s="7"/>
      <c r="H6" s="7"/>
      <c r="I6" s="7"/>
      <c r="J6" s="7"/>
      <c r="K6" s="7"/>
      <c r="L6" s="7"/>
      <c r="M6" s="7"/>
      <c r="N6" s="7"/>
      <c r="O6" s="8"/>
      <c r="Q6" s="2"/>
    </row>
    <row r="7" spans="2:33" ht="17.25" customHeight="1" thickBot="1">
      <c r="B7" s="275" t="s">
        <v>2</v>
      </c>
      <c r="C7" s="276"/>
      <c r="D7" s="276"/>
      <c r="E7" s="277" t="e">
        <f>+VLOOKUP($O$10,#REF!,3,0)</f>
        <v>#REF!</v>
      </c>
      <c r="F7" s="277"/>
      <c r="G7" s="277"/>
      <c r="H7" s="277"/>
      <c r="I7" s="277"/>
      <c r="J7" s="277"/>
      <c r="K7" s="277"/>
      <c r="L7" s="277"/>
      <c r="M7" s="277"/>
      <c r="N7" s="277"/>
      <c r="O7" s="278"/>
      <c r="Q7" s="2"/>
    </row>
    <row r="8" spans="2:33" ht="24" customHeight="1" thickBot="1">
      <c r="B8" s="279" t="s">
        <v>3</v>
      </c>
      <c r="C8" s="228"/>
      <c r="D8" s="228"/>
      <c r="E8" s="277" t="e">
        <f>+VLOOKUP($O$10,#REF!,4,0)</f>
        <v>#REF!</v>
      </c>
      <c r="F8" s="277"/>
      <c r="G8" s="277"/>
      <c r="H8" s="277"/>
      <c r="I8" s="277"/>
      <c r="J8" s="277"/>
      <c r="K8" s="277"/>
      <c r="L8" s="277"/>
      <c r="M8" s="277"/>
      <c r="N8" s="277"/>
      <c r="O8" s="278"/>
    </row>
    <row r="9" spans="2:33" ht="23.25" customHeight="1">
      <c r="B9" s="280" t="s">
        <v>4</v>
      </c>
      <c r="C9" s="281"/>
      <c r="D9" s="281"/>
      <c r="E9" s="277" t="e">
        <f>+VLOOKUP($O$10,#REF!,5,0)</f>
        <v>#REF!</v>
      </c>
      <c r="F9" s="277"/>
      <c r="G9" s="277"/>
      <c r="H9" s="277"/>
      <c r="I9" s="277"/>
      <c r="J9" s="277"/>
      <c r="K9" s="277"/>
      <c r="L9" s="277"/>
      <c r="M9" s="277"/>
      <c r="N9" s="277"/>
      <c r="O9" s="278"/>
    </row>
    <row r="10" spans="2:33" ht="30" customHeight="1">
      <c r="B10" s="20" t="s">
        <v>38</v>
      </c>
      <c r="C10" s="271" t="e">
        <f>+VLOOKUP($O$10,#REF!,6,0)</f>
        <v>#REF!</v>
      </c>
      <c r="D10" s="271"/>
      <c r="E10" s="271"/>
      <c r="F10" s="220" t="s">
        <v>40</v>
      </c>
      <c r="G10" s="220"/>
      <c r="H10" s="220"/>
      <c r="I10" s="271" t="e">
        <f>+VLOOKUP($O$10,#REF!,9,0)</f>
        <v>#REF!</v>
      </c>
      <c r="J10" s="271"/>
      <c r="K10" s="271"/>
      <c r="L10" s="220" t="s">
        <v>39</v>
      </c>
      <c r="M10" s="220"/>
      <c r="N10" s="220"/>
      <c r="O10" s="10">
        <v>3</v>
      </c>
    </row>
    <row r="11" spans="2:33" ht="30" customHeight="1" thickBot="1">
      <c r="B11" s="21" t="s">
        <v>42</v>
      </c>
      <c r="C11" s="271" t="e">
        <f>+VLOOKUP(O10,#REF!,16,0)</f>
        <v>#REF!</v>
      </c>
      <c r="D11" s="271"/>
      <c r="E11" s="271"/>
      <c r="F11" s="272" t="s">
        <v>44</v>
      </c>
      <c r="G11" s="272"/>
      <c r="H11" s="272"/>
      <c r="I11" s="273" t="e">
        <f>+VLOOKUP(O10,#REF!,17,0)</f>
        <v>#REF!</v>
      </c>
      <c r="J11" s="273"/>
      <c r="K11" s="273"/>
      <c r="L11" s="273"/>
      <c r="M11" s="273"/>
      <c r="N11" s="273"/>
      <c r="O11" s="274"/>
    </row>
    <row r="12" spans="2:33" ht="20.25" customHeight="1">
      <c r="B12" s="247" t="s">
        <v>5</v>
      </c>
      <c r="C12" s="248"/>
      <c r="D12" s="248"/>
      <c r="E12" s="248"/>
      <c r="F12" s="248"/>
      <c r="G12" s="248"/>
      <c r="H12" s="248"/>
      <c r="I12" s="248"/>
      <c r="J12" s="248"/>
      <c r="K12" s="248"/>
      <c r="L12" s="248"/>
      <c r="M12" s="248"/>
      <c r="N12" s="248"/>
      <c r="O12" s="249"/>
    </row>
    <row r="13" spans="2:33" s="3" customFormat="1" ht="15.75" customHeight="1">
      <c r="B13" s="23"/>
      <c r="C13" s="227" t="s">
        <v>6</v>
      </c>
      <c r="D13" s="228"/>
      <c r="E13" s="228"/>
      <c r="F13" s="228"/>
      <c r="G13" s="228"/>
      <c r="H13" s="228"/>
      <c r="I13" s="229"/>
      <c r="J13" s="220" t="s">
        <v>37</v>
      </c>
      <c r="K13" s="220"/>
      <c r="L13" s="220"/>
      <c r="M13" s="220" t="s">
        <v>7</v>
      </c>
      <c r="N13" s="220"/>
      <c r="O13" s="221"/>
    </row>
    <row r="14" spans="2:33" s="3" customFormat="1" ht="26.25" customHeight="1">
      <c r="B14" s="15" t="s">
        <v>8</v>
      </c>
      <c r="C14" s="250" t="s">
        <v>120</v>
      </c>
      <c r="D14" s="251"/>
      <c r="E14" s="251"/>
      <c r="F14" s="251"/>
      <c r="G14" s="251"/>
      <c r="H14" s="251"/>
      <c r="I14" s="252"/>
      <c r="J14" s="259" t="s">
        <v>85</v>
      </c>
      <c r="K14" s="260"/>
      <c r="L14" s="261"/>
      <c r="M14" s="253" t="e">
        <f>+VLOOKUP($O$10,#REF!,7,0)</f>
        <v>#REF!</v>
      </c>
      <c r="N14" s="254"/>
      <c r="O14" s="255"/>
    </row>
    <row r="15" spans="2:33" ht="26.25" customHeight="1">
      <c r="B15" s="15" t="s">
        <v>10</v>
      </c>
      <c r="C15" s="250" t="s">
        <v>121</v>
      </c>
      <c r="D15" s="251"/>
      <c r="E15" s="251"/>
      <c r="F15" s="251"/>
      <c r="G15" s="251"/>
      <c r="H15" s="251"/>
      <c r="I15" s="252"/>
      <c r="J15" s="262"/>
      <c r="K15" s="263"/>
      <c r="L15" s="264"/>
      <c r="M15" s="256"/>
      <c r="N15" s="257"/>
      <c r="O15" s="258"/>
    </row>
    <row r="16" spans="2:33" ht="16.5" customHeight="1">
      <c r="B16" s="219" t="s">
        <v>136</v>
      </c>
      <c r="C16" s="220"/>
      <c r="D16" s="220"/>
      <c r="E16" s="220"/>
      <c r="F16" s="220"/>
      <c r="G16" s="220"/>
      <c r="H16" s="220"/>
      <c r="I16" s="220"/>
      <c r="J16" s="220"/>
      <c r="K16" s="220"/>
      <c r="L16" s="220"/>
      <c r="M16" s="220"/>
      <c r="N16" s="220"/>
      <c r="O16" s="221"/>
    </row>
    <row r="17" spans="2:15" ht="25.5" customHeight="1">
      <c r="B17" s="265" t="s">
        <v>137</v>
      </c>
      <c r="C17" s="266"/>
      <c r="D17" s="266"/>
      <c r="E17" s="266"/>
      <c r="F17" s="266"/>
      <c r="G17" s="266"/>
      <c r="H17" s="266"/>
      <c r="I17" s="266"/>
      <c r="J17" s="266"/>
      <c r="K17" s="266"/>
      <c r="L17" s="266"/>
      <c r="M17" s="266"/>
      <c r="N17" s="266"/>
      <c r="O17" s="267"/>
    </row>
    <row r="18" spans="2:15" ht="15.75" customHeight="1">
      <c r="B18" s="219" t="s">
        <v>11</v>
      </c>
      <c r="C18" s="220"/>
      <c r="D18" s="220"/>
      <c r="E18" s="220"/>
      <c r="F18" s="220"/>
      <c r="G18" s="220"/>
      <c r="H18" s="220"/>
      <c r="I18" s="220"/>
      <c r="J18" s="220"/>
      <c r="K18" s="220"/>
      <c r="L18" s="220"/>
      <c r="M18" s="220"/>
      <c r="N18" s="220"/>
      <c r="O18" s="221"/>
    </row>
    <row r="19" spans="2:15" ht="25.5" customHeight="1">
      <c r="B19" s="268"/>
      <c r="C19" s="269"/>
      <c r="D19" s="269"/>
      <c r="E19" s="269"/>
      <c r="F19" s="269"/>
      <c r="G19" s="269"/>
      <c r="H19" s="269"/>
      <c r="I19" s="269"/>
      <c r="J19" s="269"/>
      <c r="K19" s="269"/>
      <c r="L19" s="269"/>
      <c r="M19" s="269"/>
      <c r="N19" s="269"/>
      <c r="O19" s="270"/>
    </row>
    <row r="20" spans="2:15" ht="16.5" customHeight="1">
      <c r="B20" s="219" t="s">
        <v>12</v>
      </c>
      <c r="C20" s="220"/>
      <c r="D20" s="220"/>
      <c r="E20" s="220"/>
      <c r="F20" s="220"/>
      <c r="G20" s="220"/>
      <c r="H20" s="220"/>
      <c r="I20" s="220"/>
      <c r="J20" s="220"/>
      <c r="K20" s="220"/>
      <c r="L20" s="220"/>
      <c r="M20" s="220"/>
      <c r="N20" s="220"/>
      <c r="O20" s="221"/>
    </row>
    <row r="21" spans="2:15" ht="18.75" customHeight="1">
      <c r="B21" s="244" t="s">
        <v>86</v>
      </c>
      <c r="C21" s="245"/>
      <c r="D21" s="245"/>
      <c r="E21" s="245"/>
      <c r="F21" s="245"/>
      <c r="G21" s="245"/>
      <c r="H21" s="245"/>
      <c r="I21" s="245"/>
      <c r="J21" s="245"/>
      <c r="K21" s="245"/>
      <c r="L21" s="245"/>
      <c r="M21" s="245"/>
      <c r="N21" s="245"/>
      <c r="O21" s="246"/>
    </row>
    <row r="22" spans="2:15" ht="18.75" customHeight="1">
      <c r="B22" s="219" t="s">
        <v>13</v>
      </c>
      <c r="C22" s="220"/>
      <c r="D22" s="220"/>
      <c r="E22" s="220"/>
      <c r="F22" s="220"/>
      <c r="G22" s="220"/>
      <c r="H22" s="220"/>
      <c r="I22" s="220"/>
      <c r="J22" s="220"/>
      <c r="K22" s="220"/>
      <c r="L22" s="220"/>
      <c r="M22" s="220"/>
      <c r="N22" s="220"/>
      <c r="O22" s="221"/>
    </row>
    <row r="23" spans="2:15" s="4" customFormat="1" ht="24">
      <c r="B23" s="16"/>
      <c r="C23" s="22" t="s">
        <v>14</v>
      </c>
      <c r="D23" s="22" t="s">
        <v>15</v>
      </c>
      <c r="E23" s="22" t="s">
        <v>16</v>
      </c>
      <c r="F23" s="22" t="s">
        <v>17</v>
      </c>
      <c r="G23" s="22" t="s">
        <v>18</v>
      </c>
      <c r="H23" s="22" t="s">
        <v>19</v>
      </c>
      <c r="I23" s="22" t="s">
        <v>20</v>
      </c>
      <c r="J23" s="22" t="s">
        <v>21</v>
      </c>
      <c r="K23" s="22" t="s">
        <v>22</v>
      </c>
      <c r="L23" s="22" t="s">
        <v>23</v>
      </c>
      <c r="M23" s="22" t="s">
        <v>24</v>
      </c>
      <c r="N23" s="22" t="s">
        <v>25</v>
      </c>
      <c r="O23" s="24" t="s">
        <v>45</v>
      </c>
    </row>
    <row r="24" spans="2:15" ht="21" customHeight="1">
      <c r="B24" s="17" t="str">
        <f>+C14</f>
        <v>Total de retiros marcados extemporáneamente (3 días hábiles)</v>
      </c>
      <c r="C24" s="27">
        <f>+DB_Indicadores!F7</f>
        <v>1</v>
      </c>
      <c r="D24" s="27">
        <v>2945</v>
      </c>
      <c r="E24" s="27">
        <v>3590</v>
      </c>
      <c r="F24" s="27">
        <v>1636</v>
      </c>
      <c r="G24" s="27">
        <v>1630</v>
      </c>
      <c r="H24" s="27">
        <v>326</v>
      </c>
      <c r="I24" s="27">
        <v>1705</v>
      </c>
      <c r="J24" s="27">
        <v>1660</v>
      </c>
      <c r="K24" s="27">
        <v>1986</v>
      </c>
      <c r="L24" s="27">
        <v>1608</v>
      </c>
      <c r="M24" s="12"/>
      <c r="N24" s="12"/>
      <c r="O24" s="13">
        <f>SUM(C24:N24)</f>
        <v>17087</v>
      </c>
    </row>
    <row r="25" spans="2:15" ht="21" customHeight="1">
      <c r="B25" s="17" t="str">
        <f>+C15</f>
        <v>(Total retiros marcados en el mes)</v>
      </c>
      <c r="C25" s="48">
        <f>+DB_Indicadores!F8</f>
        <v>70</v>
      </c>
      <c r="D25" s="26">
        <v>180478</v>
      </c>
      <c r="E25" s="26">
        <v>188395</v>
      </c>
      <c r="F25" s="26">
        <v>219141</v>
      </c>
      <c r="G25" s="26">
        <v>216946</v>
      </c>
      <c r="H25" s="26">
        <v>220456</v>
      </c>
      <c r="I25" s="26">
        <v>199380</v>
      </c>
      <c r="J25" s="26">
        <v>238454</v>
      </c>
      <c r="K25" s="26">
        <v>167861</v>
      </c>
      <c r="L25" s="26">
        <v>175829</v>
      </c>
      <c r="M25" s="14"/>
      <c r="N25" s="14"/>
      <c r="O25" s="13">
        <f>SUM(C25:N25)</f>
        <v>1807010</v>
      </c>
    </row>
    <row r="26" spans="2:15" ht="21" customHeight="1">
      <c r="B26" s="18" t="s">
        <v>46</v>
      </c>
      <c r="C26" s="25">
        <f>+IFERROR(AVERAGE(C24/C25),"")</f>
        <v>1.4285714285714285E-2</v>
      </c>
      <c r="D26" s="25">
        <f t="shared" ref="D26:N26" si="0">+IFERROR(AVERAGE(D24/D25),"")</f>
        <v>1.6317778344174912E-2</v>
      </c>
      <c r="E26" s="25">
        <f t="shared" si="0"/>
        <v>1.9055707423233099E-2</v>
      </c>
      <c r="F26" s="25">
        <f t="shared" si="0"/>
        <v>7.4655130714927831E-3</v>
      </c>
      <c r="G26" s="25">
        <f t="shared" si="0"/>
        <v>7.5133904289546704E-3</v>
      </c>
      <c r="H26" s="25">
        <f t="shared" si="0"/>
        <v>1.4787531298762564E-3</v>
      </c>
      <c r="I26" s="25">
        <f t="shared" si="0"/>
        <v>8.5515096800080244E-3</v>
      </c>
      <c r="J26" s="25">
        <f t="shared" si="0"/>
        <v>6.9615103961351036E-3</v>
      </c>
      <c r="K26" s="25">
        <f t="shared" si="0"/>
        <v>1.1831217495427765E-2</v>
      </c>
      <c r="L26" s="25">
        <f t="shared" si="0"/>
        <v>9.1452490772284435E-3</v>
      </c>
      <c r="M26" s="25" t="str">
        <f>+IFERROR(AVERAGE(M24/M25),"")</f>
        <v/>
      </c>
      <c r="N26" s="25" t="str">
        <f t="shared" si="0"/>
        <v/>
      </c>
      <c r="O26" s="29">
        <f>+IFERROR(AVERAGE(O24/O25),"")</f>
        <v>9.4559520976640974E-3</v>
      </c>
    </row>
    <row r="27" spans="2:15" ht="15.75" customHeight="1">
      <c r="B27" s="18" t="s">
        <v>26</v>
      </c>
      <c r="C27" s="28">
        <v>0.02</v>
      </c>
      <c r="D27" s="28">
        <f>+$C$27</f>
        <v>0.02</v>
      </c>
      <c r="E27" s="28">
        <f>+$C$27</f>
        <v>0.02</v>
      </c>
      <c r="F27" s="28">
        <f t="shared" ref="F27:O27" si="1">+$C$27</f>
        <v>0.02</v>
      </c>
      <c r="G27" s="28">
        <f t="shared" si="1"/>
        <v>0.02</v>
      </c>
      <c r="H27" s="28">
        <f t="shared" si="1"/>
        <v>0.02</v>
      </c>
      <c r="I27" s="28">
        <f t="shared" si="1"/>
        <v>0.02</v>
      </c>
      <c r="J27" s="28">
        <f t="shared" si="1"/>
        <v>0.02</v>
      </c>
      <c r="K27" s="28">
        <f t="shared" si="1"/>
        <v>0.02</v>
      </c>
      <c r="L27" s="28">
        <f t="shared" si="1"/>
        <v>0.02</v>
      </c>
      <c r="M27" s="28">
        <f t="shared" si="1"/>
        <v>0.02</v>
      </c>
      <c r="N27" s="28">
        <f t="shared" si="1"/>
        <v>0.02</v>
      </c>
      <c r="O27" s="30">
        <f t="shared" si="1"/>
        <v>0.02</v>
      </c>
    </row>
    <row r="28" spans="2:15" ht="31.5" customHeight="1">
      <c r="B28" s="18" t="s">
        <v>27</v>
      </c>
      <c r="C28" s="11" t="str">
        <f>+IF(C26&lt;=C27,"Cumple","No Cumple")</f>
        <v>Cumple</v>
      </c>
      <c r="D28" s="11" t="str">
        <f>+IF(D26&lt;=D27,"Cumple","No Cumple")</f>
        <v>Cumple</v>
      </c>
      <c r="E28" s="11" t="str">
        <f t="shared" ref="E28:O28" si="2">+IF(E26&lt;=E27,"Cumple","No Cumple")</f>
        <v>Cumple</v>
      </c>
      <c r="F28" s="11" t="str">
        <f t="shared" si="2"/>
        <v>Cumple</v>
      </c>
      <c r="G28" s="11" t="str">
        <f>+IF(G26&lt;=G27,"Cumple","No Cumple")</f>
        <v>Cumple</v>
      </c>
      <c r="H28" s="11" t="str">
        <f t="shared" si="2"/>
        <v>Cumple</v>
      </c>
      <c r="I28" s="11" t="str">
        <f t="shared" si="2"/>
        <v>Cumple</v>
      </c>
      <c r="J28" s="11" t="str">
        <f t="shared" si="2"/>
        <v>Cumple</v>
      </c>
      <c r="K28" s="11" t="str">
        <f t="shared" si="2"/>
        <v>Cumple</v>
      </c>
      <c r="L28" s="11" t="str">
        <f t="shared" si="2"/>
        <v>Cumple</v>
      </c>
      <c r="M28" s="11" t="str">
        <f>+IF(M26&lt;=M27,"Cumple","No Cumple")</f>
        <v>No Cumple</v>
      </c>
      <c r="N28" s="11" t="str">
        <f t="shared" si="2"/>
        <v>No Cumple</v>
      </c>
      <c r="O28" s="19" t="str">
        <f t="shared" si="2"/>
        <v>Cumple</v>
      </c>
    </row>
    <row r="29" spans="2:15" ht="18" customHeight="1" thickBot="1">
      <c r="B29" s="222" t="s">
        <v>28</v>
      </c>
      <c r="C29" s="223"/>
      <c r="D29" s="223"/>
      <c r="E29" s="223"/>
      <c r="F29" s="223"/>
      <c r="G29" s="223"/>
      <c r="H29" s="223"/>
      <c r="I29" s="223"/>
      <c r="J29" s="223"/>
      <c r="K29" s="223"/>
      <c r="L29" s="223"/>
      <c r="M29" s="223"/>
      <c r="N29" s="223"/>
      <c r="O29" s="224"/>
    </row>
    <row r="30" spans="2:15" s="2" customFormat="1" ht="20.25" customHeight="1">
      <c r="B30" s="225"/>
      <c r="C30" s="225"/>
      <c r="D30" s="225"/>
      <c r="E30" s="225"/>
      <c r="F30" s="225"/>
      <c r="G30" s="225"/>
      <c r="H30" s="225"/>
      <c r="I30" s="225"/>
      <c r="J30" s="225"/>
      <c r="K30" s="225"/>
      <c r="L30" s="225"/>
      <c r="M30" s="225"/>
      <c r="N30" s="225"/>
      <c r="O30" s="225"/>
    </row>
    <row r="31" spans="2:15" s="2" customFormat="1" ht="20.25" customHeight="1">
      <c r="B31" s="226"/>
      <c r="C31" s="226"/>
      <c r="D31" s="226"/>
      <c r="E31" s="226"/>
      <c r="F31" s="226"/>
      <c r="G31" s="226"/>
      <c r="H31" s="226"/>
      <c r="I31" s="226"/>
      <c r="J31" s="226"/>
      <c r="K31" s="226"/>
      <c r="L31" s="226"/>
      <c r="M31" s="226"/>
      <c r="N31" s="226"/>
      <c r="O31" s="226"/>
    </row>
    <row r="32" spans="2:15" s="2" customFormat="1" ht="20.25" customHeight="1">
      <c r="B32" s="226"/>
      <c r="C32" s="226"/>
      <c r="D32" s="226"/>
      <c r="E32" s="226"/>
      <c r="F32" s="226"/>
      <c r="G32" s="226"/>
      <c r="H32" s="226"/>
      <c r="I32" s="226"/>
      <c r="J32" s="226"/>
      <c r="K32" s="226"/>
      <c r="L32" s="226"/>
      <c r="M32" s="226"/>
      <c r="N32" s="226"/>
      <c r="O32" s="226"/>
    </row>
    <row r="33" spans="1:15" s="2" customFormat="1" ht="20.25" customHeight="1">
      <c r="B33" s="226"/>
      <c r="C33" s="226"/>
      <c r="D33" s="226"/>
      <c r="E33" s="226"/>
      <c r="F33" s="226"/>
      <c r="G33" s="226"/>
      <c r="H33" s="226"/>
      <c r="I33" s="226"/>
      <c r="J33" s="226"/>
      <c r="K33" s="226"/>
      <c r="L33" s="226"/>
      <c r="M33" s="226"/>
      <c r="N33" s="226"/>
      <c r="O33" s="226"/>
    </row>
    <row r="34" spans="1:15" s="2" customFormat="1" ht="20.25" customHeight="1">
      <c r="B34" s="226"/>
      <c r="C34" s="226"/>
      <c r="D34" s="226"/>
      <c r="E34" s="226"/>
      <c r="F34" s="226"/>
      <c r="G34" s="226"/>
      <c r="H34" s="226"/>
      <c r="I34" s="226"/>
      <c r="J34" s="226"/>
      <c r="K34" s="226"/>
      <c r="L34" s="226"/>
      <c r="M34" s="226"/>
      <c r="N34" s="226"/>
      <c r="O34" s="226"/>
    </row>
    <row r="35" spans="1:15" ht="20.25" customHeight="1">
      <c r="B35" s="226"/>
      <c r="C35" s="226"/>
      <c r="D35" s="226"/>
      <c r="E35" s="226"/>
      <c r="F35" s="226"/>
      <c r="G35" s="226"/>
      <c r="H35" s="226"/>
      <c r="I35" s="226"/>
      <c r="J35" s="226"/>
      <c r="K35" s="226"/>
      <c r="L35" s="226"/>
      <c r="M35" s="226"/>
      <c r="N35" s="226"/>
      <c r="O35" s="226"/>
    </row>
    <row r="36" spans="1:15" ht="20.25" customHeight="1">
      <c r="B36" s="226"/>
      <c r="C36" s="226"/>
      <c r="D36" s="226"/>
      <c r="E36" s="226"/>
      <c r="F36" s="226"/>
      <c r="G36" s="226"/>
      <c r="H36" s="226"/>
      <c r="I36" s="226"/>
      <c r="J36" s="226"/>
      <c r="K36" s="226"/>
      <c r="L36" s="226"/>
      <c r="M36" s="226"/>
      <c r="N36" s="226"/>
      <c r="O36" s="226"/>
    </row>
    <row r="37" spans="1:15" ht="20.25" customHeight="1">
      <c r="B37" s="226"/>
      <c r="C37" s="226"/>
      <c r="D37" s="226"/>
      <c r="E37" s="226"/>
      <c r="F37" s="226"/>
      <c r="G37" s="226"/>
      <c r="H37" s="226"/>
      <c r="I37" s="226"/>
      <c r="J37" s="226"/>
      <c r="K37" s="226"/>
      <c r="L37" s="226"/>
      <c r="M37" s="226"/>
      <c r="N37" s="226"/>
      <c r="O37" s="226"/>
    </row>
    <row r="38" spans="1:15" ht="20.25" customHeight="1">
      <c r="B38" s="226"/>
      <c r="C38" s="226"/>
      <c r="D38" s="226"/>
      <c r="E38" s="226"/>
      <c r="F38" s="226"/>
      <c r="G38" s="226"/>
      <c r="H38" s="226"/>
      <c r="I38" s="226"/>
      <c r="J38" s="226"/>
      <c r="K38" s="226"/>
      <c r="L38" s="226"/>
      <c r="M38" s="226"/>
      <c r="N38" s="226"/>
      <c r="O38" s="226"/>
    </row>
    <row r="39" spans="1:15">
      <c r="B39" s="226"/>
      <c r="C39" s="226"/>
      <c r="D39" s="226"/>
      <c r="E39" s="226"/>
      <c r="F39" s="226"/>
      <c r="G39" s="226"/>
      <c r="H39" s="226"/>
      <c r="I39" s="226"/>
      <c r="J39" s="226"/>
      <c r="K39" s="226"/>
      <c r="L39" s="226"/>
      <c r="M39" s="226"/>
      <c r="N39" s="226"/>
      <c r="O39" s="226"/>
    </row>
    <row r="40" spans="1:15">
      <c r="B40" s="226"/>
      <c r="C40" s="226"/>
      <c r="D40" s="226"/>
      <c r="E40" s="226"/>
      <c r="F40" s="226"/>
      <c r="G40" s="226"/>
      <c r="H40" s="226"/>
      <c r="I40" s="226"/>
      <c r="J40" s="226"/>
      <c r="K40" s="226"/>
      <c r="L40" s="226"/>
      <c r="M40" s="226"/>
      <c r="N40" s="226"/>
      <c r="O40" s="226"/>
    </row>
    <row r="41" spans="1:15">
      <c r="B41" s="226"/>
      <c r="C41" s="226"/>
      <c r="D41" s="226"/>
      <c r="E41" s="226"/>
      <c r="F41" s="226"/>
      <c r="G41" s="226"/>
      <c r="H41" s="226"/>
      <c r="I41" s="226"/>
      <c r="J41" s="226"/>
      <c r="K41" s="226"/>
      <c r="L41" s="226"/>
      <c r="M41" s="226"/>
      <c r="N41" s="226"/>
      <c r="O41" s="226"/>
    </row>
    <row r="42" spans="1:15" ht="15" customHeight="1">
      <c r="B42" s="220" t="s">
        <v>29</v>
      </c>
      <c r="C42" s="220"/>
      <c r="D42" s="220"/>
      <c r="E42" s="220"/>
      <c r="F42" s="220"/>
      <c r="G42" s="220"/>
      <c r="H42" s="220"/>
      <c r="I42" s="220"/>
      <c r="J42" s="220"/>
      <c r="K42" s="220"/>
      <c r="L42" s="220"/>
      <c r="M42" s="220"/>
      <c r="N42" s="220"/>
      <c r="O42" s="220"/>
    </row>
    <row r="43" spans="1:15" ht="26.25" customHeight="1">
      <c r="B43" s="227" t="s">
        <v>47</v>
      </c>
      <c r="C43" s="228"/>
      <c r="D43" s="228"/>
      <c r="E43" s="229"/>
      <c r="F43" s="230" t="s">
        <v>48</v>
      </c>
      <c r="G43" s="230"/>
      <c r="H43" s="230"/>
      <c r="I43" s="230"/>
      <c r="J43" s="230"/>
      <c r="K43" s="231" t="s">
        <v>30</v>
      </c>
      <c r="L43" s="232"/>
      <c r="M43" s="22" t="s">
        <v>50</v>
      </c>
      <c r="N43" s="233" t="s">
        <v>49</v>
      </c>
      <c r="O43" s="232"/>
    </row>
    <row r="44" spans="1:15" ht="42.75" customHeight="1">
      <c r="A44" s="1">
        <v>1</v>
      </c>
      <c r="B44" s="234" t="s">
        <v>51</v>
      </c>
      <c r="C44" s="235"/>
      <c r="D44" s="235"/>
      <c r="E44" s="236"/>
      <c r="F44" s="243" t="s">
        <v>52</v>
      </c>
      <c r="G44" s="217"/>
      <c r="H44" s="217"/>
      <c r="I44" s="217"/>
      <c r="J44" s="218"/>
      <c r="K44" s="213"/>
      <c r="L44" s="214"/>
      <c r="M44" s="31"/>
      <c r="N44" s="214"/>
      <c r="O44" s="215"/>
    </row>
    <row r="45" spans="1:15" ht="24.75" customHeight="1">
      <c r="A45" s="1">
        <v>2</v>
      </c>
      <c r="B45" s="237"/>
      <c r="C45" s="238"/>
      <c r="D45" s="238"/>
      <c r="E45" s="239"/>
      <c r="F45" s="216"/>
      <c r="G45" s="217"/>
      <c r="H45" s="217"/>
      <c r="I45" s="217"/>
      <c r="J45" s="218"/>
      <c r="K45" s="213"/>
      <c r="L45" s="214"/>
      <c r="M45" s="31"/>
      <c r="N45" s="214"/>
      <c r="O45" s="215"/>
    </row>
    <row r="46" spans="1:15" ht="24.75" customHeight="1">
      <c r="A46" s="1">
        <v>3</v>
      </c>
      <c r="B46" s="237"/>
      <c r="C46" s="238"/>
      <c r="D46" s="238"/>
      <c r="E46" s="239"/>
      <c r="F46" s="216"/>
      <c r="G46" s="217"/>
      <c r="H46" s="217"/>
      <c r="I46" s="217"/>
      <c r="J46" s="218"/>
      <c r="K46" s="213"/>
      <c r="L46" s="214"/>
      <c r="M46" s="31"/>
      <c r="N46" s="214"/>
      <c r="O46" s="215"/>
    </row>
    <row r="47" spans="1:15" ht="24.75" customHeight="1">
      <c r="A47" s="1">
        <v>4</v>
      </c>
      <c r="B47" s="240"/>
      <c r="C47" s="241"/>
      <c r="D47" s="241"/>
      <c r="E47" s="242"/>
      <c r="F47" s="216"/>
      <c r="G47" s="217"/>
      <c r="H47" s="217"/>
      <c r="I47" s="217"/>
      <c r="J47" s="218"/>
      <c r="K47" s="213"/>
      <c r="L47" s="214"/>
      <c r="M47" s="31"/>
      <c r="N47" s="214"/>
      <c r="O47" s="215"/>
    </row>
  </sheetData>
  <sheetProtection pivotTables="0"/>
  <protectedRanges>
    <protectedRange sqref="B44:O47" name="Rango2"/>
    <protectedRange sqref="C24:N25" name="Rango1"/>
  </protectedRanges>
  <mergeCells count="71">
    <mergeCell ref="T1:AB1"/>
    <mergeCell ref="AC3:AD3"/>
    <mergeCell ref="N3:O3"/>
    <mergeCell ref="D1:K1"/>
    <mergeCell ref="L1:M1"/>
    <mergeCell ref="N1:O1"/>
    <mergeCell ref="R1:S3"/>
    <mergeCell ref="AE3:AG3"/>
    <mergeCell ref="K4:O4"/>
    <mergeCell ref="B5:C5"/>
    <mergeCell ref="D5:G5"/>
    <mergeCell ref="H5:I5"/>
    <mergeCell ref="J5:N5"/>
    <mergeCell ref="B1:C3"/>
    <mergeCell ref="AC1:AD1"/>
    <mergeCell ref="AE1:AG1"/>
    <mergeCell ref="D2:K3"/>
    <mergeCell ref="L2:M2"/>
    <mergeCell ref="N2:O2"/>
    <mergeCell ref="T2:AB3"/>
    <mergeCell ref="AC2:AD2"/>
    <mergeCell ref="AE2:AG2"/>
    <mergeCell ref="L3:M3"/>
    <mergeCell ref="B7:D7"/>
    <mergeCell ref="E7:O7"/>
    <mergeCell ref="B8:D8"/>
    <mergeCell ref="E8:O8"/>
    <mergeCell ref="B9:D9"/>
    <mergeCell ref="E9:O9"/>
    <mergeCell ref="C10:E10"/>
    <mergeCell ref="F10:H10"/>
    <mergeCell ref="I10:K10"/>
    <mergeCell ref="L10:N10"/>
    <mergeCell ref="C11:E11"/>
    <mergeCell ref="F11:H11"/>
    <mergeCell ref="I11:O11"/>
    <mergeCell ref="B21:O21"/>
    <mergeCell ref="B12:O12"/>
    <mergeCell ref="C13:I13"/>
    <mergeCell ref="J13:L13"/>
    <mergeCell ref="M13:O13"/>
    <mergeCell ref="C14:I14"/>
    <mergeCell ref="M14:O15"/>
    <mergeCell ref="C15:I15"/>
    <mergeCell ref="J14:L15"/>
    <mergeCell ref="B16:O16"/>
    <mergeCell ref="B17:O17"/>
    <mergeCell ref="B18:O18"/>
    <mergeCell ref="B19:O19"/>
    <mergeCell ref="B20:O20"/>
    <mergeCell ref="N44:O44"/>
    <mergeCell ref="B22:O22"/>
    <mergeCell ref="B29:O29"/>
    <mergeCell ref="B30:O41"/>
    <mergeCell ref="B42:O42"/>
    <mergeCell ref="B43:E43"/>
    <mergeCell ref="F43:J43"/>
    <mergeCell ref="K43:L43"/>
    <mergeCell ref="N43:O43"/>
    <mergeCell ref="B44:E47"/>
    <mergeCell ref="F44:J44"/>
    <mergeCell ref="F45:J45"/>
    <mergeCell ref="K44:L44"/>
    <mergeCell ref="K45:L45"/>
    <mergeCell ref="N45:O45"/>
    <mergeCell ref="F46:J46"/>
    <mergeCell ref="K46:L46"/>
    <mergeCell ref="N46:O46"/>
    <mergeCell ref="F47:J47"/>
    <mergeCell ref="K47:L47"/>
    <mergeCell ref="N47:O47"/>
  </mergeCells>
  <conditionalFormatting sqref="C28:O28">
    <cfRule type="cellIs" dxfId="8" priority="4" operator="equal">
      <formula>"No Cumple"</formula>
    </cfRule>
    <cfRule type="cellIs" dxfId="7" priority="5" operator="equal">
      <formula>"Cumple"</formula>
    </cfRule>
  </conditionalFormatting>
  <conditionalFormatting sqref="N44:O47">
    <cfRule type="cellIs" dxfId="6" priority="1" operator="equal">
      <formula>"EN PROCESO"</formula>
    </cfRule>
    <cfRule type="cellIs" dxfId="5" priority="2" operator="equal">
      <formula>"CERRADO"</formula>
    </cfRule>
    <cfRule type="cellIs" dxfId="4" priority="3" operator="equal">
      <formula>"ABIERTO"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List!$A$2:$A$5</xm:f>
          </x14:formula1>
          <xm:sqref>N44:O47</xm:sqref>
        </x14:dataValidation>
        <x14:dataValidation type="list" allowBlank="1" showInputMessage="1" showErrorMessage="1" xr:uid="{00000000-0002-0000-0000-000001000000}">
          <x14:formula1>
            <xm:f>List!$G$2:$G$17</xm:f>
          </x14:formula1>
          <xm:sqref>D5:G5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B2:G11"/>
  <sheetViews>
    <sheetView showGridLines="0" workbookViewId="0">
      <selection activeCell="G4" sqref="G4"/>
    </sheetView>
  </sheetViews>
  <sheetFormatPr baseColWidth="10" defaultRowHeight="15"/>
  <cols>
    <col min="1" max="1" width="3.42578125" customWidth="1"/>
    <col min="2" max="2" width="29.140625" customWidth="1"/>
    <col min="3" max="3" width="14.5703125" customWidth="1"/>
    <col min="4" max="4" width="44.85546875" customWidth="1"/>
    <col min="5" max="5" width="18.7109375" customWidth="1"/>
    <col min="6" max="6" width="8.140625" customWidth="1"/>
    <col min="7" max="7" width="15.140625" customWidth="1"/>
  </cols>
  <sheetData>
    <row r="2" spans="2:7">
      <c r="B2" s="322"/>
      <c r="C2" s="322" t="s">
        <v>32</v>
      </c>
      <c r="D2" s="322"/>
      <c r="E2" s="322"/>
      <c r="F2" s="33" t="s">
        <v>87</v>
      </c>
      <c r="G2" s="34" t="s">
        <v>34</v>
      </c>
    </row>
    <row r="3" spans="2:7" ht="15" customHeight="1">
      <c r="B3" s="322"/>
      <c r="C3" s="322" t="s">
        <v>88</v>
      </c>
      <c r="D3" s="322"/>
      <c r="E3" s="322"/>
      <c r="F3" s="33" t="s">
        <v>35</v>
      </c>
      <c r="G3" s="34">
        <v>3</v>
      </c>
    </row>
    <row r="4" spans="2:7">
      <c r="B4" s="322"/>
      <c r="C4" s="322"/>
      <c r="D4" s="322"/>
      <c r="E4" s="322"/>
      <c r="F4" s="33" t="s">
        <v>36</v>
      </c>
      <c r="G4" s="35">
        <v>45099</v>
      </c>
    </row>
    <row r="6" spans="2:7">
      <c r="B6" s="36" t="s">
        <v>89</v>
      </c>
      <c r="C6" s="323" t="s">
        <v>90</v>
      </c>
      <c r="D6" s="324"/>
      <c r="E6" s="325"/>
      <c r="F6" s="326" t="s">
        <v>91</v>
      </c>
      <c r="G6" s="326"/>
    </row>
    <row r="7" spans="2:7">
      <c r="B7" s="37">
        <v>3</v>
      </c>
      <c r="C7" s="317" t="s">
        <v>92</v>
      </c>
      <c r="D7" s="318"/>
      <c r="E7" s="319"/>
      <c r="F7" s="320">
        <v>45099</v>
      </c>
      <c r="G7" s="321"/>
    </row>
    <row r="8" spans="2:7" ht="15.75">
      <c r="B8" s="38"/>
      <c r="C8" s="38"/>
      <c r="D8" s="38"/>
      <c r="E8" s="38"/>
      <c r="F8" s="38"/>
    </row>
    <row r="9" spans="2:7">
      <c r="B9" s="323" t="s">
        <v>93</v>
      </c>
      <c r="C9" s="325"/>
      <c r="D9" s="36" t="s">
        <v>94</v>
      </c>
      <c r="E9" s="326" t="s">
        <v>95</v>
      </c>
      <c r="F9" s="326"/>
      <c r="G9" s="326"/>
    </row>
    <row r="10" spans="2:7">
      <c r="B10" s="327" t="s">
        <v>96</v>
      </c>
      <c r="C10" s="328"/>
      <c r="D10" s="39" t="s">
        <v>97</v>
      </c>
      <c r="E10" s="329" t="s">
        <v>97</v>
      </c>
      <c r="F10" s="329"/>
      <c r="G10" s="329"/>
    </row>
    <row r="11" spans="2:7">
      <c r="B11" s="327" t="s">
        <v>98</v>
      </c>
      <c r="C11" s="328"/>
      <c r="D11" s="39" t="s">
        <v>99</v>
      </c>
      <c r="E11" s="329" t="s">
        <v>99</v>
      </c>
      <c r="F11" s="329"/>
      <c r="G11" s="329"/>
    </row>
  </sheetData>
  <mergeCells count="13">
    <mergeCell ref="B9:C9"/>
    <mergeCell ref="E9:G9"/>
    <mergeCell ref="B10:C10"/>
    <mergeCell ref="E10:G10"/>
    <mergeCell ref="B11:C11"/>
    <mergeCell ref="E11:G11"/>
    <mergeCell ref="C7:E7"/>
    <mergeCell ref="F7:G7"/>
    <mergeCell ref="B2:B4"/>
    <mergeCell ref="C2:E2"/>
    <mergeCell ref="C3:E4"/>
    <mergeCell ref="C6:E6"/>
    <mergeCell ref="F6: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I20"/>
  <sheetViews>
    <sheetView workbookViewId="0">
      <selection activeCell="H5" sqref="H5"/>
    </sheetView>
  </sheetViews>
  <sheetFormatPr baseColWidth="10" defaultRowHeight="15"/>
  <cols>
    <col min="1" max="1" width="16.85546875" customWidth="1"/>
    <col min="2" max="2" width="18.5703125" bestFit="1" customWidth="1"/>
    <col min="3" max="3" width="22.28515625" bestFit="1" customWidth="1"/>
    <col min="4" max="4" width="11.140625" customWidth="1"/>
    <col min="5" max="5" width="34.28515625" bestFit="1" customWidth="1"/>
    <col min="6" max="6" width="13" bestFit="1" customWidth="1"/>
    <col min="7" max="7" width="25.5703125" bestFit="1" customWidth="1"/>
    <col min="8" max="8" width="18" customWidth="1"/>
    <col min="9" max="9" width="14.5703125" bestFit="1" customWidth="1"/>
  </cols>
  <sheetData>
    <row r="1" spans="1:9">
      <c r="A1" t="s">
        <v>49</v>
      </c>
      <c r="B1" t="s">
        <v>56</v>
      </c>
      <c r="C1" t="s">
        <v>60</v>
      </c>
      <c r="D1" t="s">
        <v>64</v>
      </c>
      <c r="E1" s="32" t="s">
        <v>66</v>
      </c>
      <c r="F1" s="32" t="s">
        <v>79</v>
      </c>
      <c r="G1" t="s">
        <v>101</v>
      </c>
      <c r="H1" t="s">
        <v>117</v>
      </c>
      <c r="I1" t="s">
        <v>124</v>
      </c>
    </row>
    <row r="2" spans="1:9">
      <c r="A2" s="45" t="s">
        <v>53</v>
      </c>
      <c r="B2" s="45" t="s">
        <v>58</v>
      </c>
      <c r="C2" s="45" t="s">
        <v>43</v>
      </c>
      <c r="D2" s="45" t="s">
        <v>41</v>
      </c>
      <c r="E2" s="45" t="s">
        <v>67</v>
      </c>
      <c r="F2" s="45" t="s">
        <v>9</v>
      </c>
      <c r="G2" s="45" t="s">
        <v>102</v>
      </c>
      <c r="H2" s="45" t="s">
        <v>118</v>
      </c>
      <c r="I2" s="45" t="s">
        <v>125</v>
      </c>
    </row>
    <row r="3" spans="1:9">
      <c r="A3" s="45" t="s">
        <v>54</v>
      </c>
      <c r="B3" s="45" t="s">
        <v>57</v>
      </c>
      <c r="C3" s="45" t="s">
        <v>61</v>
      </c>
      <c r="D3" s="45" t="s">
        <v>65</v>
      </c>
      <c r="E3" s="45" t="s">
        <v>68</v>
      </c>
      <c r="F3" s="45" t="s">
        <v>80</v>
      </c>
      <c r="G3" s="45" t="s">
        <v>103</v>
      </c>
      <c r="H3" s="45" t="s">
        <v>119</v>
      </c>
      <c r="I3" s="45" t="s">
        <v>126</v>
      </c>
    </row>
    <row r="4" spans="1:9">
      <c r="A4" s="45" t="s">
        <v>55</v>
      </c>
      <c r="B4" s="45" t="s">
        <v>59</v>
      </c>
      <c r="C4" s="45" t="s">
        <v>62</v>
      </c>
      <c r="D4" s="45"/>
      <c r="E4" s="45" t="s">
        <v>69</v>
      </c>
      <c r="F4" s="45" t="s">
        <v>81</v>
      </c>
      <c r="G4" s="45" t="s">
        <v>104</v>
      </c>
      <c r="H4" s="45" t="s">
        <v>140</v>
      </c>
      <c r="I4" s="45" t="s">
        <v>127</v>
      </c>
    </row>
    <row r="5" spans="1:9">
      <c r="A5" s="45"/>
      <c r="B5" s="45"/>
      <c r="C5" s="45" t="s">
        <v>63</v>
      </c>
      <c r="D5" s="45"/>
      <c r="E5" s="45" t="s">
        <v>70</v>
      </c>
      <c r="F5" s="45" t="s">
        <v>82</v>
      </c>
      <c r="G5" s="45" t="s">
        <v>105</v>
      </c>
      <c r="H5" s="45"/>
      <c r="I5" s="45" t="s">
        <v>128</v>
      </c>
    </row>
    <row r="6" spans="1:9">
      <c r="A6" s="45"/>
      <c r="B6" s="45"/>
      <c r="C6" s="45"/>
      <c r="D6" s="45"/>
      <c r="E6" s="45" t="s">
        <v>71</v>
      </c>
      <c r="F6" s="45" t="s">
        <v>83</v>
      </c>
      <c r="G6" s="45" t="s">
        <v>106</v>
      </c>
      <c r="H6" s="45"/>
      <c r="I6" s="45" t="s">
        <v>129</v>
      </c>
    </row>
    <row r="7" spans="1:9">
      <c r="A7" s="45"/>
      <c r="B7" s="45"/>
      <c r="C7" s="45"/>
      <c r="D7" s="45"/>
      <c r="E7" s="45" t="s">
        <v>72</v>
      </c>
      <c r="F7" s="45" t="s">
        <v>84</v>
      </c>
      <c r="G7" s="45" t="s">
        <v>107</v>
      </c>
      <c r="H7" s="45"/>
      <c r="I7" s="45" t="s">
        <v>130</v>
      </c>
    </row>
    <row r="8" spans="1:9">
      <c r="A8" s="45"/>
      <c r="B8" s="45"/>
      <c r="C8" s="45"/>
      <c r="D8" s="45"/>
      <c r="E8" s="45" t="s">
        <v>73</v>
      </c>
      <c r="F8" s="45"/>
      <c r="G8" s="45" t="s">
        <v>108</v>
      </c>
      <c r="H8" s="45"/>
      <c r="I8" s="45" t="s">
        <v>130</v>
      </c>
    </row>
    <row r="9" spans="1:9">
      <c r="A9" s="45"/>
      <c r="B9" s="45"/>
      <c r="C9" s="45"/>
      <c r="D9" s="45"/>
      <c r="E9" s="45" t="s">
        <v>74</v>
      </c>
      <c r="F9" s="45"/>
      <c r="G9" s="45" t="s">
        <v>109</v>
      </c>
      <c r="H9" s="45"/>
      <c r="I9" s="45" t="s">
        <v>131</v>
      </c>
    </row>
    <row r="10" spans="1:9">
      <c r="A10" s="45"/>
      <c r="B10" s="45"/>
      <c r="C10" s="45"/>
      <c r="D10" s="45"/>
      <c r="E10" s="45" t="s">
        <v>75</v>
      </c>
      <c r="F10" s="45"/>
      <c r="G10" s="45" t="s">
        <v>110</v>
      </c>
      <c r="H10" s="45"/>
      <c r="I10" s="45" t="s">
        <v>132</v>
      </c>
    </row>
    <row r="11" spans="1:9">
      <c r="A11" s="45"/>
      <c r="B11" s="45"/>
      <c r="C11" s="45"/>
      <c r="D11" s="45"/>
      <c r="E11" s="45" t="s">
        <v>76</v>
      </c>
      <c r="F11" s="45"/>
      <c r="G11" s="45" t="s">
        <v>111</v>
      </c>
      <c r="H11" s="45"/>
      <c r="I11" s="45" t="s">
        <v>133</v>
      </c>
    </row>
    <row r="12" spans="1:9">
      <c r="A12" s="45"/>
      <c r="B12" s="45"/>
      <c r="C12" s="45"/>
      <c r="D12" s="45"/>
      <c r="E12" s="45" t="s">
        <v>77</v>
      </c>
      <c r="F12" s="45"/>
      <c r="G12" s="45" t="s">
        <v>112</v>
      </c>
      <c r="H12" s="45"/>
      <c r="I12" s="45" t="s">
        <v>134</v>
      </c>
    </row>
    <row r="13" spans="1:9">
      <c r="A13" s="45"/>
      <c r="B13" s="45"/>
      <c r="C13" s="45"/>
      <c r="D13" s="45"/>
      <c r="E13" s="45" t="s">
        <v>78</v>
      </c>
      <c r="F13" s="45"/>
      <c r="G13" s="45" t="s">
        <v>113</v>
      </c>
      <c r="H13" s="45"/>
      <c r="I13" s="45" t="s">
        <v>134</v>
      </c>
    </row>
    <row r="14" spans="1:9">
      <c r="A14" s="45"/>
      <c r="B14" s="45"/>
      <c r="C14" s="45"/>
      <c r="D14" s="45"/>
      <c r="E14" s="45"/>
      <c r="F14" s="45"/>
      <c r="G14" s="45" t="s">
        <v>114</v>
      </c>
      <c r="H14" s="45"/>
      <c r="I14" s="45" t="s">
        <v>135</v>
      </c>
    </row>
    <row r="15" spans="1:9">
      <c r="A15" s="45"/>
      <c r="B15" s="45"/>
      <c r="C15" s="45"/>
      <c r="D15" s="45"/>
      <c r="E15" s="45"/>
      <c r="F15" s="45"/>
      <c r="G15" s="45" t="s">
        <v>115</v>
      </c>
      <c r="H15" s="45"/>
      <c r="I15" s="45" t="s">
        <v>133</v>
      </c>
    </row>
    <row r="16" spans="1:9">
      <c r="A16" s="45"/>
      <c r="B16" s="45"/>
      <c r="C16" s="45"/>
      <c r="D16" s="45"/>
      <c r="E16" s="45"/>
      <c r="F16" s="45"/>
      <c r="G16" s="45" t="s">
        <v>116</v>
      </c>
      <c r="H16" s="45"/>
      <c r="I16" s="45" t="s">
        <v>130</v>
      </c>
    </row>
    <row r="17" spans="1:9">
      <c r="A17" s="45"/>
      <c r="B17" s="45"/>
      <c r="C17" s="45"/>
      <c r="D17" s="45"/>
      <c r="E17" s="45"/>
      <c r="F17" s="45"/>
      <c r="G17" s="45"/>
      <c r="H17" s="45"/>
      <c r="I17" s="45"/>
    </row>
    <row r="18" spans="1:9">
      <c r="A18" s="45"/>
      <c r="B18" s="45"/>
      <c r="C18" s="45"/>
      <c r="D18" s="45"/>
      <c r="E18" s="45"/>
      <c r="F18" s="45"/>
      <c r="G18" s="45"/>
      <c r="H18" s="45"/>
      <c r="I18" s="45"/>
    </row>
    <row r="19" spans="1:9">
      <c r="A19" s="45"/>
      <c r="B19" s="45"/>
      <c r="C19" s="45"/>
      <c r="D19" s="45"/>
      <c r="E19" s="45"/>
      <c r="F19" s="45"/>
      <c r="G19" s="45"/>
      <c r="H19" s="45"/>
      <c r="I19" s="45"/>
    </row>
    <row r="20" spans="1:9">
      <c r="A20" s="45"/>
      <c r="B20" s="45"/>
      <c r="C20" s="45"/>
      <c r="D20" s="45"/>
      <c r="E20" s="45"/>
      <c r="F20" s="45"/>
      <c r="G20" s="45"/>
      <c r="H20" s="45"/>
      <c r="I20" s="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C101"/>
  <sheetViews>
    <sheetView topLeftCell="A16" zoomScale="90" zoomScaleNormal="90" workbookViewId="0">
      <selection activeCell="T18" sqref="T18"/>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4" width="9.140625" style="1" customWidth="1"/>
    <col min="15" max="15" width="10.7109375" style="1" customWidth="1"/>
    <col min="16" max="16" width="3" style="1" customWidth="1"/>
    <col min="17" max="254" width="11.42578125" style="1"/>
    <col min="255" max="255" width="13.5703125" style="1" bestFit="1" customWidth="1"/>
    <col min="256" max="258" width="11.5703125" style="1" bestFit="1" customWidth="1"/>
    <col min="259" max="259" width="7.42578125" style="1" bestFit="1" customWidth="1"/>
    <col min="260" max="260" width="8.42578125" style="1" customWidth="1"/>
    <col min="261" max="261" width="11.85546875" style="1" bestFit="1" customWidth="1"/>
    <col min="262" max="267" width="8" style="1" bestFit="1" customWidth="1"/>
    <col min="268" max="268" width="3" style="1" customWidth="1"/>
    <col min="269" max="510" width="11.42578125" style="1"/>
    <col min="511" max="511" width="13.5703125" style="1" bestFit="1" customWidth="1"/>
    <col min="512" max="514" width="11.5703125" style="1" bestFit="1" customWidth="1"/>
    <col min="515" max="515" width="7.42578125" style="1" bestFit="1" customWidth="1"/>
    <col min="516" max="516" width="8.42578125" style="1" customWidth="1"/>
    <col min="517" max="517" width="11.85546875" style="1" bestFit="1" customWidth="1"/>
    <col min="518" max="523" width="8" style="1" bestFit="1" customWidth="1"/>
    <col min="524" max="524" width="3" style="1" customWidth="1"/>
    <col min="525" max="766" width="11.42578125" style="1"/>
    <col min="767" max="767" width="13.5703125" style="1" bestFit="1" customWidth="1"/>
    <col min="768" max="770" width="11.5703125" style="1" bestFit="1" customWidth="1"/>
    <col min="771" max="771" width="7.42578125" style="1" bestFit="1" customWidth="1"/>
    <col min="772" max="772" width="8.42578125" style="1" customWidth="1"/>
    <col min="773" max="773" width="11.85546875" style="1" bestFit="1" customWidth="1"/>
    <col min="774" max="779" width="8" style="1" bestFit="1" customWidth="1"/>
    <col min="780" max="780" width="3" style="1" customWidth="1"/>
    <col min="781" max="1022" width="11.42578125" style="1"/>
    <col min="1023" max="1023" width="13.5703125" style="1" bestFit="1" customWidth="1"/>
    <col min="1024" max="1026" width="11.5703125" style="1" bestFit="1" customWidth="1"/>
    <col min="1027" max="1027" width="7.42578125" style="1" bestFit="1" customWidth="1"/>
    <col min="1028" max="1028" width="8.42578125" style="1" customWidth="1"/>
    <col min="1029" max="1029" width="11.85546875" style="1" bestFit="1" customWidth="1"/>
    <col min="1030" max="1035" width="8" style="1" bestFit="1" customWidth="1"/>
    <col min="1036" max="1036" width="3" style="1" customWidth="1"/>
    <col min="1037" max="1278" width="11.42578125" style="1"/>
    <col min="1279" max="1279" width="13.5703125" style="1" bestFit="1" customWidth="1"/>
    <col min="1280" max="1282" width="11.5703125" style="1" bestFit="1" customWidth="1"/>
    <col min="1283" max="1283" width="7.42578125" style="1" bestFit="1" customWidth="1"/>
    <col min="1284" max="1284" width="8.42578125" style="1" customWidth="1"/>
    <col min="1285" max="1285" width="11.85546875" style="1" bestFit="1" customWidth="1"/>
    <col min="1286" max="1291" width="8" style="1" bestFit="1" customWidth="1"/>
    <col min="1292" max="1292" width="3" style="1" customWidth="1"/>
    <col min="1293" max="1534" width="11.42578125" style="1"/>
    <col min="1535" max="1535" width="13.5703125" style="1" bestFit="1" customWidth="1"/>
    <col min="1536" max="1538" width="11.5703125" style="1" bestFit="1" customWidth="1"/>
    <col min="1539" max="1539" width="7.42578125" style="1" bestFit="1" customWidth="1"/>
    <col min="1540" max="1540" width="8.42578125" style="1" customWidth="1"/>
    <col min="1541" max="1541" width="11.85546875" style="1" bestFit="1" customWidth="1"/>
    <col min="1542" max="1547" width="8" style="1" bestFit="1" customWidth="1"/>
    <col min="1548" max="1548" width="3" style="1" customWidth="1"/>
    <col min="1549" max="1790" width="11.42578125" style="1"/>
    <col min="1791" max="1791" width="13.5703125" style="1" bestFit="1" customWidth="1"/>
    <col min="1792" max="1794" width="11.5703125" style="1" bestFit="1" customWidth="1"/>
    <col min="1795" max="1795" width="7.42578125" style="1" bestFit="1" customWidth="1"/>
    <col min="1796" max="1796" width="8.42578125" style="1" customWidth="1"/>
    <col min="1797" max="1797" width="11.85546875" style="1" bestFit="1" customWidth="1"/>
    <col min="1798" max="1803" width="8" style="1" bestFit="1" customWidth="1"/>
    <col min="1804" max="1804" width="3" style="1" customWidth="1"/>
    <col min="1805" max="2046" width="11.42578125" style="1"/>
    <col min="2047" max="2047" width="13.5703125" style="1" bestFit="1" customWidth="1"/>
    <col min="2048" max="2050" width="11.5703125" style="1" bestFit="1" customWidth="1"/>
    <col min="2051" max="2051" width="7.42578125" style="1" bestFit="1" customWidth="1"/>
    <col min="2052" max="2052" width="8.42578125" style="1" customWidth="1"/>
    <col min="2053" max="2053" width="11.85546875" style="1" bestFit="1" customWidth="1"/>
    <col min="2054" max="2059" width="8" style="1" bestFit="1" customWidth="1"/>
    <col min="2060" max="2060" width="3" style="1" customWidth="1"/>
    <col min="2061" max="2302" width="11.42578125" style="1"/>
    <col min="2303" max="2303" width="13.5703125" style="1" bestFit="1" customWidth="1"/>
    <col min="2304" max="2306" width="11.5703125" style="1" bestFit="1" customWidth="1"/>
    <col min="2307" max="2307" width="7.42578125" style="1" bestFit="1" customWidth="1"/>
    <col min="2308" max="2308" width="8.42578125" style="1" customWidth="1"/>
    <col min="2309" max="2309" width="11.85546875" style="1" bestFit="1" customWidth="1"/>
    <col min="2310" max="2315" width="8" style="1" bestFit="1" customWidth="1"/>
    <col min="2316" max="2316" width="3" style="1" customWidth="1"/>
    <col min="2317" max="2558" width="11.42578125" style="1"/>
    <col min="2559" max="2559" width="13.5703125" style="1" bestFit="1" customWidth="1"/>
    <col min="2560" max="2562" width="11.5703125" style="1" bestFit="1" customWidth="1"/>
    <col min="2563" max="2563" width="7.42578125" style="1" bestFit="1" customWidth="1"/>
    <col min="2564" max="2564" width="8.42578125" style="1" customWidth="1"/>
    <col min="2565" max="2565" width="11.85546875" style="1" bestFit="1" customWidth="1"/>
    <col min="2566" max="2571" width="8" style="1" bestFit="1" customWidth="1"/>
    <col min="2572" max="2572" width="3" style="1" customWidth="1"/>
    <col min="2573" max="2814" width="11.42578125" style="1"/>
    <col min="2815" max="2815" width="13.5703125" style="1" bestFit="1" customWidth="1"/>
    <col min="2816" max="2818" width="11.5703125" style="1" bestFit="1" customWidth="1"/>
    <col min="2819" max="2819" width="7.42578125" style="1" bestFit="1" customWidth="1"/>
    <col min="2820" max="2820" width="8.42578125" style="1" customWidth="1"/>
    <col min="2821" max="2821" width="11.85546875" style="1" bestFit="1" customWidth="1"/>
    <col min="2822" max="2827" width="8" style="1" bestFit="1" customWidth="1"/>
    <col min="2828" max="2828" width="3" style="1" customWidth="1"/>
    <col min="2829" max="3070" width="11.42578125" style="1"/>
    <col min="3071" max="3071" width="13.5703125" style="1" bestFit="1" customWidth="1"/>
    <col min="3072" max="3074" width="11.5703125" style="1" bestFit="1" customWidth="1"/>
    <col min="3075" max="3075" width="7.42578125" style="1" bestFit="1" customWidth="1"/>
    <col min="3076" max="3076" width="8.42578125" style="1" customWidth="1"/>
    <col min="3077" max="3077" width="11.85546875" style="1" bestFit="1" customWidth="1"/>
    <col min="3078" max="3083" width="8" style="1" bestFit="1" customWidth="1"/>
    <col min="3084" max="3084" width="3" style="1" customWidth="1"/>
    <col min="3085" max="3326" width="11.42578125" style="1"/>
    <col min="3327" max="3327" width="13.5703125" style="1" bestFit="1" customWidth="1"/>
    <col min="3328" max="3330" width="11.5703125" style="1" bestFit="1" customWidth="1"/>
    <col min="3331" max="3331" width="7.42578125" style="1" bestFit="1" customWidth="1"/>
    <col min="3332" max="3332" width="8.42578125" style="1" customWidth="1"/>
    <col min="3333" max="3333" width="11.85546875" style="1" bestFit="1" customWidth="1"/>
    <col min="3334" max="3339" width="8" style="1" bestFit="1" customWidth="1"/>
    <col min="3340" max="3340" width="3" style="1" customWidth="1"/>
    <col min="3341" max="3582" width="11.42578125" style="1"/>
    <col min="3583" max="3583" width="13.5703125" style="1" bestFit="1" customWidth="1"/>
    <col min="3584" max="3586" width="11.5703125" style="1" bestFit="1" customWidth="1"/>
    <col min="3587" max="3587" width="7.42578125" style="1" bestFit="1" customWidth="1"/>
    <col min="3588" max="3588" width="8.42578125" style="1" customWidth="1"/>
    <col min="3589" max="3589" width="11.85546875" style="1" bestFit="1" customWidth="1"/>
    <col min="3590" max="3595" width="8" style="1" bestFit="1" customWidth="1"/>
    <col min="3596" max="3596" width="3" style="1" customWidth="1"/>
    <col min="3597" max="3838" width="11.42578125" style="1"/>
    <col min="3839" max="3839" width="13.5703125" style="1" bestFit="1" customWidth="1"/>
    <col min="3840" max="3842" width="11.5703125" style="1" bestFit="1" customWidth="1"/>
    <col min="3843" max="3843" width="7.42578125" style="1" bestFit="1" customWidth="1"/>
    <col min="3844" max="3844" width="8.42578125" style="1" customWidth="1"/>
    <col min="3845" max="3845" width="11.85546875" style="1" bestFit="1" customWidth="1"/>
    <col min="3846" max="3851" width="8" style="1" bestFit="1" customWidth="1"/>
    <col min="3852" max="3852" width="3" style="1" customWidth="1"/>
    <col min="3853" max="4094" width="11.42578125" style="1"/>
    <col min="4095" max="4095" width="13.5703125" style="1" bestFit="1" customWidth="1"/>
    <col min="4096" max="4098" width="11.5703125" style="1" bestFit="1" customWidth="1"/>
    <col min="4099" max="4099" width="7.42578125" style="1" bestFit="1" customWidth="1"/>
    <col min="4100" max="4100" width="8.42578125" style="1" customWidth="1"/>
    <col min="4101" max="4101" width="11.85546875" style="1" bestFit="1" customWidth="1"/>
    <col min="4102" max="4107" width="8" style="1" bestFit="1" customWidth="1"/>
    <col min="4108" max="4108" width="3" style="1" customWidth="1"/>
    <col min="4109" max="4350" width="11.42578125" style="1"/>
    <col min="4351" max="4351" width="13.5703125" style="1" bestFit="1" customWidth="1"/>
    <col min="4352" max="4354" width="11.5703125" style="1" bestFit="1" customWidth="1"/>
    <col min="4355" max="4355" width="7.42578125" style="1" bestFit="1" customWidth="1"/>
    <col min="4356" max="4356" width="8.42578125" style="1" customWidth="1"/>
    <col min="4357" max="4357" width="11.85546875" style="1" bestFit="1" customWidth="1"/>
    <col min="4358" max="4363" width="8" style="1" bestFit="1" customWidth="1"/>
    <col min="4364" max="4364" width="3" style="1" customWidth="1"/>
    <col min="4365" max="4606" width="11.42578125" style="1"/>
    <col min="4607" max="4607" width="13.5703125" style="1" bestFit="1" customWidth="1"/>
    <col min="4608" max="4610" width="11.5703125" style="1" bestFit="1" customWidth="1"/>
    <col min="4611" max="4611" width="7.42578125" style="1" bestFit="1" customWidth="1"/>
    <col min="4612" max="4612" width="8.42578125" style="1" customWidth="1"/>
    <col min="4613" max="4613" width="11.85546875" style="1" bestFit="1" customWidth="1"/>
    <col min="4614" max="4619" width="8" style="1" bestFit="1" customWidth="1"/>
    <col min="4620" max="4620" width="3" style="1" customWidth="1"/>
    <col min="4621" max="4862" width="11.42578125" style="1"/>
    <col min="4863" max="4863" width="13.5703125" style="1" bestFit="1" customWidth="1"/>
    <col min="4864" max="4866" width="11.5703125" style="1" bestFit="1" customWidth="1"/>
    <col min="4867" max="4867" width="7.42578125" style="1" bestFit="1" customWidth="1"/>
    <col min="4868" max="4868" width="8.42578125" style="1" customWidth="1"/>
    <col min="4869" max="4869" width="11.85546875" style="1" bestFit="1" customWidth="1"/>
    <col min="4870" max="4875" width="8" style="1" bestFit="1" customWidth="1"/>
    <col min="4876" max="4876" width="3" style="1" customWidth="1"/>
    <col min="4877" max="5118" width="11.42578125" style="1"/>
    <col min="5119" max="5119" width="13.5703125" style="1" bestFit="1" customWidth="1"/>
    <col min="5120" max="5122" width="11.5703125" style="1" bestFit="1" customWidth="1"/>
    <col min="5123" max="5123" width="7.42578125" style="1" bestFit="1" customWidth="1"/>
    <col min="5124" max="5124" width="8.42578125" style="1" customWidth="1"/>
    <col min="5125" max="5125" width="11.85546875" style="1" bestFit="1" customWidth="1"/>
    <col min="5126" max="5131" width="8" style="1" bestFit="1" customWidth="1"/>
    <col min="5132" max="5132" width="3" style="1" customWidth="1"/>
    <col min="5133" max="5374" width="11.42578125" style="1"/>
    <col min="5375" max="5375" width="13.5703125" style="1" bestFit="1" customWidth="1"/>
    <col min="5376" max="5378" width="11.5703125" style="1" bestFit="1" customWidth="1"/>
    <col min="5379" max="5379" width="7.42578125" style="1" bestFit="1" customWidth="1"/>
    <col min="5380" max="5380" width="8.42578125" style="1" customWidth="1"/>
    <col min="5381" max="5381" width="11.85546875" style="1" bestFit="1" customWidth="1"/>
    <col min="5382" max="5387" width="8" style="1" bestFit="1" customWidth="1"/>
    <col min="5388" max="5388" width="3" style="1" customWidth="1"/>
    <col min="5389" max="5630" width="11.42578125" style="1"/>
    <col min="5631" max="5631" width="13.5703125" style="1" bestFit="1" customWidth="1"/>
    <col min="5632" max="5634" width="11.5703125" style="1" bestFit="1" customWidth="1"/>
    <col min="5635" max="5635" width="7.42578125" style="1" bestFit="1" customWidth="1"/>
    <col min="5636" max="5636" width="8.42578125" style="1" customWidth="1"/>
    <col min="5637" max="5637" width="11.85546875" style="1" bestFit="1" customWidth="1"/>
    <col min="5638" max="5643" width="8" style="1" bestFit="1" customWidth="1"/>
    <col min="5644" max="5644" width="3" style="1" customWidth="1"/>
    <col min="5645" max="5886" width="11.42578125" style="1"/>
    <col min="5887" max="5887" width="13.5703125" style="1" bestFit="1" customWidth="1"/>
    <col min="5888" max="5890" width="11.5703125" style="1" bestFit="1" customWidth="1"/>
    <col min="5891" max="5891" width="7.42578125" style="1" bestFit="1" customWidth="1"/>
    <col min="5892" max="5892" width="8.42578125" style="1" customWidth="1"/>
    <col min="5893" max="5893" width="11.85546875" style="1" bestFit="1" customWidth="1"/>
    <col min="5894" max="5899" width="8" style="1" bestFit="1" customWidth="1"/>
    <col min="5900" max="5900" width="3" style="1" customWidth="1"/>
    <col min="5901" max="6142" width="11.42578125" style="1"/>
    <col min="6143" max="6143" width="13.5703125" style="1" bestFit="1" customWidth="1"/>
    <col min="6144" max="6146" width="11.5703125" style="1" bestFit="1" customWidth="1"/>
    <col min="6147" max="6147" width="7.42578125" style="1" bestFit="1" customWidth="1"/>
    <col min="6148" max="6148" width="8.42578125" style="1" customWidth="1"/>
    <col min="6149" max="6149" width="11.85546875" style="1" bestFit="1" customWidth="1"/>
    <col min="6150" max="6155" width="8" style="1" bestFit="1" customWidth="1"/>
    <col min="6156" max="6156" width="3" style="1" customWidth="1"/>
    <col min="6157" max="6398" width="11.42578125" style="1"/>
    <col min="6399" max="6399" width="13.5703125" style="1" bestFit="1" customWidth="1"/>
    <col min="6400" max="6402" width="11.5703125" style="1" bestFit="1" customWidth="1"/>
    <col min="6403" max="6403" width="7.42578125" style="1" bestFit="1" customWidth="1"/>
    <col min="6404" max="6404" width="8.42578125" style="1" customWidth="1"/>
    <col min="6405" max="6405" width="11.85546875" style="1" bestFit="1" customWidth="1"/>
    <col min="6406" max="6411" width="8" style="1" bestFit="1" customWidth="1"/>
    <col min="6412" max="6412" width="3" style="1" customWidth="1"/>
    <col min="6413" max="6654" width="11.42578125" style="1"/>
    <col min="6655" max="6655" width="13.5703125" style="1" bestFit="1" customWidth="1"/>
    <col min="6656" max="6658" width="11.5703125" style="1" bestFit="1" customWidth="1"/>
    <col min="6659" max="6659" width="7.42578125" style="1" bestFit="1" customWidth="1"/>
    <col min="6660" max="6660" width="8.42578125" style="1" customWidth="1"/>
    <col min="6661" max="6661" width="11.85546875" style="1" bestFit="1" customWidth="1"/>
    <col min="6662" max="6667" width="8" style="1" bestFit="1" customWidth="1"/>
    <col min="6668" max="6668" width="3" style="1" customWidth="1"/>
    <col min="6669" max="6910" width="11.42578125" style="1"/>
    <col min="6911" max="6911" width="13.5703125" style="1" bestFit="1" customWidth="1"/>
    <col min="6912" max="6914" width="11.5703125" style="1" bestFit="1" customWidth="1"/>
    <col min="6915" max="6915" width="7.42578125" style="1" bestFit="1" customWidth="1"/>
    <col min="6916" max="6916" width="8.42578125" style="1" customWidth="1"/>
    <col min="6917" max="6917" width="11.85546875" style="1" bestFit="1" customWidth="1"/>
    <col min="6918" max="6923" width="8" style="1" bestFit="1" customWidth="1"/>
    <col min="6924" max="6924" width="3" style="1" customWidth="1"/>
    <col min="6925" max="7166" width="11.42578125" style="1"/>
    <col min="7167" max="7167" width="13.5703125" style="1" bestFit="1" customWidth="1"/>
    <col min="7168" max="7170" width="11.5703125" style="1" bestFit="1" customWidth="1"/>
    <col min="7171" max="7171" width="7.42578125" style="1" bestFit="1" customWidth="1"/>
    <col min="7172" max="7172" width="8.42578125" style="1" customWidth="1"/>
    <col min="7173" max="7173" width="11.85546875" style="1" bestFit="1" customWidth="1"/>
    <col min="7174" max="7179" width="8" style="1" bestFit="1" customWidth="1"/>
    <col min="7180" max="7180" width="3" style="1" customWidth="1"/>
    <col min="7181" max="7422" width="11.42578125" style="1"/>
    <col min="7423" max="7423" width="13.5703125" style="1" bestFit="1" customWidth="1"/>
    <col min="7424" max="7426" width="11.5703125" style="1" bestFit="1" customWidth="1"/>
    <col min="7427" max="7427" width="7.42578125" style="1" bestFit="1" customWidth="1"/>
    <col min="7428" max="7428" width="8.42578125" style="1" customWidth="1"/>
    <col min="7429" max="7429" width="11.85546875" style="1" bestFit="1" customWidth="1"/>
    <col min="7430" max="7435" width="8" style="1" bestFit="1" customWidth="1"/>
    <col min="7436" max="7436" width="3" style="1" customWidth="1"/>
    <col min="7437" max="7678" width="11.42578125" style="1"/>
    <col min="7679" max="7679" width="13.5703125" style="1" bestFit="1" customWidth="1"/>
    <col min="7680" max="7682" width="11.5703125" style="1" bestFit="1" customWidth="1"/>
    <col min="7683" max="7683" width="7.42578125" style="1" bestFit="1" customWidth="1"/>
    <col min="7684" max="7684" width="8.42578125" style="1" customWidth="1"/>
    <col min="7685" max="7685" width="11.85546875" style="1" bestFit="1" customWidth="1"/>
    <col min="7686" max="7691" width="8" style="1" bestFit="1" customWidth="1"/>
    <col min="7692" max="7692" width="3" style="1" customWidth="1"/>
    <col min="7693" max="7934" width="11.42578125" style="1"/>
    <col min="7935" max="7935" width="13.5703125" style="1" bestFit="1" customWidth="1"/>
    <col min="7936" max="7938" width="11.5703125" style="1" bestFit="1" customWidth="1"/>
    <col min="7939" max="7939" width="7.42578125" style="1" bestFit="1" customWidth="1"/>
    <col min="7940" max="7940" width="8.42578125" style="1" customWidth="1"/>
    <col min="7941" max="7941" width="11.85546875" style="1" bestFit="1" customWidth="1"/>
    <col min="7942" max="7947" width="8" style="1" bestFit="1" customWidth="1"/>
    <col min="7948" max="7948" width="3" style="1" customWidth="1"/>
    <col min="7949" max="8190" width="11.42578125" style="1"/>
    <col min="8191" max="8191" width="13.5703125" style="1" bestFit="1" customWidth="1"/>
    <col min="8192" max="8194" width="11.5703125" style="1" bestFit="1" customWidth="1"/>
    <col min="8195" max="8195" width="7.42578125" style="1" bestFit="1" customWidth="1"/>
    <col min="8196" max="8196" width="8.42578125" style="1" customWidth="1"/>
    <col min="8197" max="8197" width="11.85546875" style="1" bestFit="1" customWidth="1"/>
    <col min="8198" max="8203" width="8" style="1" bestFit="1" customWidth="1"/>
    <col min="8204" max="8204" width="3" style="1" customWidth="1"/>
    <col min="8205" max="8446" width="11.42578125" style="1"/>
    <col min="8447" max="8447" width="13.5703125" style="1" bestFit="1" customWidth="1"/>
    <col min="8448" max="8450" width="11.5703125" style="1" bestFit="1" customWidth="1"/>
    <col min="8451" max="8451" width="7.42578125" style="1" bestFit="1" customWidth="1"/>
    <col min="8452" max="8452" width="8.42578125" style="1" customWidth="1"/>
    <col min="8453" max="8453" width="11.85546875" style="1" bestFit="1" customWidth="1"/>
    <col min="8454" max="8459" width="8" style="1" bestFit="1" customWidth="1"/>
    <col min="8460" max="8460" width="3" style="1" customWidth="1"/>
    <col min="8461" max="8702" width="11.42578125" style="1"/>
    <col min="8703" max="8703" width="13.5703125" style="1" bestFit="1" customWidth="1"/>
    <col min="8704" max="8706" width="11.5703125" style="1" bestFit="1" customWidth="1"/>
    <col min="8707" max="8707" width="7.42578125" style="1" bestFit="1" customWidth="1"/>
    <col min="8708" max="8708" width="8.42578125" style="1" customWidth="1"/>
    <col min="8709" max="8709" width="11.85546875" style="1" bestFit="1" customWidth="1"/>
    <col min="8710" max="8715" width="8" style="1" bestFit="1" customWidth="1"/>
    <col min="8716" max="8716" width="3" style="1" customWidth="1"/>
    <col min="8717" max="8958" width="11.42578125" style="1"/>
    <col min="8959" max="8959" width="13.5703125" style="1" bestFit="1" customWidth="1"/>
    <col min="8960" max="8962" width="11.5703125" style="1" bestFit="1" customWidth="1"/>
    <col min="8963" max="8963" width="7.42578125" style="1" bestFit="1" customWidth="1"/>
    <col min="8964" max="8964" width="8.42578125" style="1" customWidth="1"/>
    <col min="8965" max="8965" width="11.85546875" style="1" bestFit="1" customWidth="1"/>
    <col min="8966" max="8971" width="8" style="1" bestFit="1" customWidth="1"/>
    <col min="8972" max="8972" width="3" style="1" customWidth="1"/>
    <col min="8973" max="9214" width="11.42578125" style="1"/>
    <col min="9215" max="9215" width="13.5703125" style="1" bestFit="1" customWidth="1"/>
    <col min="9216" max="9218" width="11.5703125" style="1" bestFit="1" customWidth="1"/>
    <col min="9219" max="9219" width="7.42578125" style="1" bestFit="1" customWidth="1"/>
    <col min="9220" max="9220" width="8.42578125" style="1" customWidth="1"/>
    <col min="9221" max="9221" width="11.85546875" style="1" bestFit="1" customWidth="1"/>
    <col min="9222" max="9227" width="8" style="1" bestFit="1" customWidth="1"/>
    <col min="9228" max="9228" width="3" style="1" customWidth="1"/>
    <col min="9229" max="9470" width="11.42578125" style="1"/>
    <col min="9471" max="9471" width="13.5703125" style="1" bestFit="1" customWidth="1"/>
    <col min="9472" max="9474" width="11.5703125" style="1" bestFit="1" customWidth="1"/>
    <col min="9475" max="9475" width="7.42578125" style="1" bestFit="1" customWidth="1"/>
    <col min="9476" max="9476" width="8.42578125" style="1" customWidth="1"/>
    <col min="9477" max="9477" width="11.85546875" style="1" bestFit="1" customWidth="1"/>
    <col min="9478" max="9483" width="8" style="1" bestFit="1" customWidth="1"/>
    <col min="9484" max="9484" width="3" style="1" customWidth="1"/>
    <col min="9485" max="9726" width="11.42578125" style="1"/>
    <col min="9727" max="9727" width="13.5703125" style="1" bestFit="1" customWidth="1"/>
    <col min="9728" max="9730" width="11.5703125" style="1" bestFit="1" customWidth="1"/>
    <col min="9731" max="9731" width="7.42578125" style="1" bestFit="1" customWidth="1"/>
    <col min="9732" max="9732" width="8.42578125" style="1" customWidth="1"/>
    <col min="9733" max="9733" width="11.85546875" style="1" bestFit="1" customWidth="1"/>
    <col min="9734" max="9739" width="8" style="1" bestFit="1" customWidth="1"/>
    <col min="9740" max="9740" width="3" style="1" customWidth="1"/>
    <col min="9741" max="9982" width="11.42578125" style="1"/>
    <col min="9983" max="9983" width="13.5703125" style="1" bestFit="1" customWidth="1"/>
    <col min="9984" max="9986" width="11.5703125" style="1" bestFit="1" customWidth="1"/>
    <col min="9987" max="9987" width="7.42578125" style="1" bestFit="1" customWidth="1"/>
    <col min="9988" max="9988" width="8.42578125" style="1" customWidth="1"/>
    <col min="9989" max="9989" width="11.85546875" style="1" bestFit="1" customWidth="1"/>
    <col min="9990" max="9995" width="8" style="1" bestFit="1" customWidth="1"/>
    <col min="9996" max="9996" width="3" style="1" customWidth="1"/>
    <col min="9997" max="10238" width="11.42578125" style="1"/>
    <col min="10239" max="10239" width="13.5703125" style="1" bestFit="1" customWidth="1"/>
    <col min="10240" max="10242" width="11.5703125" style="1" bestFit="1" customWidth="1"/>
    <col min="10243" max="10243" width="7.42578125" style="1" bestFit="1" customWidth="1"/>
    <col min="10244" max="10244" width="8.42578125" style="1" customWidth="1"/>
    <col min="10245" max="10245" width="11.85546875" style="1" bestFit="1" customWidth="1"/>
    <col min="10246" max="10251" width="8" style="1" bestFit="1" customWidth="1"/>
    <col min="10252" max="10252" width="3" style="1" customWidth="1"/>
    <col min="10253" max="10494" width="11.42578125" style="1"/>
    <col min="10495" max="10495" width="13.5703125" style="1" bestFit="1" customWidth="1"/>
    <col min="10496" max="10498" width="11.5703125" style="1" bestFit="1" customWidth="1"/>
    <col min="10499" max="10499" width="7.42578125" style="1" bestFit="1" customWidth="1"/>
    <col min="10500" max="10500" width="8.42578125" style="1" customWidth="1"/>
    <col min="10501" max="10501" width="11.85546875" style="1" bestFit="1" customWidth="1"/>
    <col min="10502" max="10507" width="8" style="1" bestFit="1" customWidth="1"/>
    <col min="10508" max="10508" width="3" style="1" customWidth="1"/>
    <col min="10509" max="10750" width="11.42578125" style="1"/>
    <col min="10751" max="10751" width="13.5703125" style="1" bestFit="1" customWidth="1"/>
    <col min="10752" max="10754" width="11.5703125" style="1" bestFit="1" customWidth="1"/>
    <col min="10755" max="10755" width="7.42578125" style="1" bestFit="1" customWidth="1"/>
    <col min="10756" max="10756" width="8.42578125" style="1" customWidth="1"/>
    <col min="10757" max="10757" width="11.85546875" style="1" bestFit="1" customWidth="1"/>
    <col min="10758" max="10763" width="8" style="1" bestFit="1" customWidth="1"/>
    <col min="10764" max="10764" width="3" style="1" customWidth="1"/>
    <col min="10765" max="11006" width="11.42578125" style="1"/>
    <col min="11007" max="11007" width="13.5703125" style="1" bestFit="1" customWidth="1"/>
    <col min="11008" max="11010" width="11.5703125" style="1" bestFit="1" customWidth="1"/>
    <col min="11011" max="11011" width="7.42578125" style="1" bestFit="1" customWidth="1"/>
    <col min="11012" max="11012" width="8.42578125" style="1" customWidth="1"/>
    <col min="11013" max="11013" width="11.85546875" style="1" bestFit="1" customWidth="1"/>
    <col min="11014" max="11019" width="8" style="1" bestFit="1" customWidth="1"/>
    <col min="11020" max="11020" width="3" style="1" customWidth="1"/>
    <col min="11021" max="11262" width="11.42578125" style="1"/>
    <col min="11263" max="11263" width="13.5703125" style="1" bestFit="1" customWidth="1"/>
    <col min="11264" max="11266" width="11.5703125" style="1" bestFit="1" customWidth="1"/>
    <col min="11267" max="11267" width="7.42578125" style="1" bestFit="1" customWidth="1"/>
    <col min="11268" max="11268" width="8.42578125" style="1" customWidth="1"/>
    <col min="11269" max="11269" width="11.85546875" style="1" bestFit="1" customWidth="1"/>
    <col min="11270" max="11275" width="8" style="1" bestFit="1" customWidth="1"/>
    <col min="11276" max="11276" width="3" style="1" customWidth="1"/>
    <col min="11277" max="11518" width="11.42578125" style="1"/>
    <col min="11519" max="11519" width="13.5703125" style="1" bestFit="1" customWidth="1"/>
    <col min="11520" max="11522" width="11.5703125" style="1" bestFit="1" customWidth="1"/>
    <col min="11523" max="11523" width="7.42578125" style="1" bestFit="1" customWidth="1"/>
    <col min="11524" max="11524" width="8.42578125" style="1" customWidth="1"/>
    <col min="11525" max="11525" width="11.85546875" style="1" bestFit="1" customWidth="1"/>
    <col min="11526" max="11531" width="8" style="1" bestFit="1" customWidth="1"/>
    <col min="11532" max="11532" width="3" style="1" customWidth="1"/>
    <col min="11533" max="11774" width="11.42578125" style="1"/>
    <col min="11775" max="11775" width="13.5703125" style="1" bestFit="1" customWidth="1"/>
    <col min="11776" max="11778" width="11.5703125" style="1" bestFit="1" customWidth="1"/>
    <col min="11779" max="11779" width="7.42578125" style="1" bestFit="1" customWidth="1"/>
    <col min="11780" max="11780" width="8.42578125" style="1" customWidth="1"/>
    <col min="11781" max="11781" width="11.85546875" style="1" bestFit="1" customWidth="1"/>
    <col min="11782" max="11787" width="8" style="1" bestFit="1" customWidth="1"/>
    <col min="11788" max="11788" width="3" style="1" customWidth="1"/>
    <col min="11789" max="12030" width="11.42578125" style="1"/>
    <col min="12031" max="12031" width="13.5703125" style="1" bestFit="1" customWidth="1"/>
    <col min="12032" max="12034" width="11.5703125" style="1" bestFit="1" customWidth="1"/>
    <col min="12035" max="12035" width="7.42578125" style="1" bestFit="1" customWidth="1"/>
    <col min="12036" max="12036" width="8.42578125" style="1" customWidth="1"/>
    <col min="12037" max="12037" width="11.85546875" style="1" bestFit="1" customWidth="1"/>
    <col min="12038" max="12043" width="8" style="1" bestFit="1" customWidth="1"/>
    <col min="12044" max="12044" width="3" style="1" customWidth="1"/>
    <col min="12045" max="12286" width="11.42578125" style="1"/>
    <col min="12287" max="12287" width="13.5703125" style="1" bestFit="1" customWidth="1"/>
    <col min="12288" max="12290" width="11.5703125" style="1" bestFit="1" customWidth="1"/>
    <col min="12291" max="12291" width="7.42578125" style="1" bestFit="1" customWidth="1"/>
    <col min="12292" max="12292" width="8.42578125" style="1" customWidth="1"/>
    <col min="12293" max="12293" width="11.85546875" style="1" bestFit="1" customWidth="1"/>
    <col min="12294" max="12299" width="8" style="1" bestFit="1" customWidth="1"/>
    <col min="12300" max="12300" width="3" style="1" customWidth="1"/>
    <col min="12301" max="12542" width="11.42578125" style="1"/>
    <col min="12543" max="12543" width="13.5703125" style="1" bestFit="1" customWidth="1"/>
    <col min="12544" max="12546" width="11.5703125" style="1" bestFit="1" customWidth="1"/>
    <col min="12547" max="12547" width="7.42578125" style="1" bestFit="1" customWidth="1"/>
    <col min="12548" max="12548" width="8.42578125" style="1" customWidth="1"/>
    <col min="12549" max="12549" width="11.85546875" style="1" bestFit="1" customWidth="1"/>
    <col min="12550" max="12555" width="8" style="1" bestFit="1" customWidth="1"/>
    <col min="12556" max="12556" width="3" style="1" customWidth="1"/>
    <col min="12557" max="12798" width="11.42578125" style="1"/>
    <col min="12799" max="12799" width="13.5703125" style="1" bestFit="1" customWidth="1"/>
    <col min="12800" max="12802" width="11.5703125" style="1" bestFit="1" customWidth="1"/>
    <col min="12803" max="12803" width="7.42578125" style="1" bestFit="1" customWidth="1"/>
    <col min="12804" max="12804" width="8.42578125" style="1" customWidth="1"/>
    <col min="12805" max="12805" width="11.85546875" style="1" bestFit="1" customWidth="1"/>
    <col min="12806" max="12811" width="8" style="1" bestFit="1" customWidth="1"/>
    <col min="12812" max="12812" width="3" style="1" customWidth="1"/>
    <col min="12813" max="13054" width="11.42578125" style="1"/>
    <col min="13055" max="13055" width="13.5703125" style="1" bestFit="1" customWidth="1"/>
    <col min="13056" max="13058" width="11.5703125" style="1" bestFit="1" customWidth="1"/>
    <col min="13059" max="13059" width="7.42578125" style="1" bestFit="1" customWidth="1"/>
    <col min="13060" max="13060" width="8.42578125" style="1" customWidth="1"/>
    <col min="13061" max="13061" width="11.85546875" style="1" bestFit="1" customWidth="1"/>
    <col min="13062" max="13067" width="8" style="1" bestFit="1" customWidth="1"/>
    <col min="13068" max="13068" width="3" style="1" customWidth="1"/>
    <col min="13069" max="13310" width="11.42578125" style="1"/>
    <col min="13311" max="13311" width="13.5703125" style="1" bestFit="1" customWidth="1"/>
    <col min="13312" max="13314" width="11.5703125" style="1" bestFit="1" customWidth="1"/>
    <col min="13315" max="13315" width="7.42578125" style="1" bestFit="1" customWidth="1"/>
    <col min="13316" max="13316" width="8.42578125" style="1" customWidth="1"/>
    <col min="13317" max="13317" width="11.85546875" style="1" bestFit="1" customWidth="1"/>
    <col min="13318" max="13323" width="8" style="1" bestFit="1" customWidth="1"/>
    <col min="13324" max="13324" width="3" style="1" customWidth="1"/>
    <col min="13325" max="13566" width="11.42578125" style="1"/>
    <col min="13567" max="13567" width="13.5703125" style="1" bestFit="1" customWidth="1"/>
    <col min="13568" max="13570" width="11.5703125" style="1" bestFit="1" customWidth="1"/>
    <col min="13571" max="13571" width="7.42578125" style="1" bestFit="1" customWidth="1"/>
    <col min="13572" max="13572" width="8.42578125" style="1" customWidth="1"/>
    <col min="13573" max="13573" width="11.85546875" style="1" bestFit="1" customWidth="1"/>
    <col min="13574" max="13579" width="8" style="1" bestFit="1" customWidth="1"/>
    <col min="13580" max="13580" width="3" style="1" customWidth="1"/>
    <col min="13581" max="13822" width="11.42578125" style="1"/>
    <col min="13823" max="13823" width="13.5703125" style="1" bestFit="1" customWidth="1"/>
    <col min="13824" max="13826" width="11.5703125" style="1" bestFit="1" customWidth="1"/>
    <col min="13827" max="13827" width="7.42578125" style="1" bestFit="1" customWidth="1"/>
    <col min="13828" max="13828" width="8.42578125" style="1" customWidth="1"/>
    <col min="13829" max="13829" width="11.85546875" style="1" bestFit="1" customWidth="1"/>
    <col min="13830" max="13835" width="8" style="1" bestFit="1" customWidth="1"/>
    <col min="13836" max="13836" width="3" style="1" customWidth="1"/>
    <col min="13837" max="14078" width="11.42578125" style="1"/>
    <col min="14079" max="14079" width="13.5703125" style="1" bestFit="1" customWidth="1"/>
    <col min="14080" max="14082" width="11.5703125" style="1" bestFit="1" customWidth="1"/>
    <col min="14083" max="14083" width="7.42578125" style="1" bestFit="1" customWidth="1"/>
    <col min="14084" max="14084" width="8.42578125" style="1" customWidth="1"/>
    <col min="14085" max="14085" width="11.85546875" style="1" bestFit="1" customWidth="1"/>
    <col min="14086" max="14091" width="8" style="1" bestFit="1" customWidth="1"/>
    <col min="14092" max="14092" width="3" style="1" customWidth="1"/>
    <col min="14093" max="14334" width="11.42578125" style="1"/>
    <col min="14335" max="14335" width="13.5703125" style="1" bestFit="1" customWidth="1"/>
    <col min="14336" max="14338" width="11.5703125" style="1" bestFit="1" customWidth="1"/>
    <col min="14339" max="14339" width="7.42578125" style="1" bestFit="1" customWidth="1"/>
    <col min="14340" max="14340" width="8.42578125" style="1" customWidth="1"/>
    <col min="14341" max="14341" width="11.85546875" style="1" bestFit="1" customWidth="1"/>
    <col min="14342" max="14347" width="8" style="1" bestFit="1" customWidth="1"/>
    <col min="14348" max="14348" width="3" style="1" customWidth="1"/>
    <col min="14349" max="14590" width="11.42578125" style="1"/>
    <col min="14591" max="14591" width="13.5703125" style="1" bestFit="1" customWidth="1"/>
    <col min="14592" max="14594" width="11.5703125" style="1" bestFit="1" customWidth="1"/>
    <col min="14595" max="14595" width="7.42578125" style="1" bestFit="1" customWidth="1"/>
    <col min="14596" max="14596" width="8.42578125" style="1" customWidth="1"/>
    <col min="14597" max="14597" width="11.85546875" style="1" bestFit="1" customWidth="1"/>
    <col min="14598" max="14603" width="8" style="1" bestFit="1" customWidth="1"/>
    <col min="14604" max="14604" width="3" style="1" customWidth="1"/>
    <col min="14605" max="14846" width="11.42578125" style="1"/>
    <col min="14847" max="14847" width="13.5703125" style="1" bestFit="1" customWidth="1"/>
    <col min="14848" max="14850" width="11.5703125" style="1" bestFit="1" customWidth="1"/>
    <col min="14851" max="14851" width="7.42578125" style="1" bestFit="1" customWidth="1"/>
    <col min="14852" max="14852" width="8.42578125" style="1" customWidth="1"/>
    <col min="14853" max="14853" width="11.85546875" style="1" bestFit="1" customWidth="1"/>
    <col min="14854" max="14859" width="8" style="1" bestFit="1" customWidth="1"/>
    <col min="14860" max="14860" width="3" style="1" customWidth="1"/>
    <col min="14861" max="15102" width="11.42578125" style="1"/>
    <col min="15103" max="15103" width="13.5703125" style="1" bestFit="1" customWidth="1"/>
    <col min="15104" max="15106" width="11.5703125" style="1" bestFit="1" customWidth="1"/>
    <col min="15107" max="15107" width="7.42578125" style="1" bestFit="1" customWidth="1"/>
    <col min="15108" max="15108" width="8.42578125" style="1" customWidth="1"/>
    <col min="15109" max="15109" width="11.85546875" style="1" bestFit="1" customWidth="1"/>
    <col min="15110" max="15115" width="8" style="1" bestFit="1" customWidth="1"/>
    <col min="15116" max="15116" width="3" style="1" customWidth="1"/>
    <col min="15117" max="15358" width="11.42578125" style="1"/>
    <col min="15359" max="15359" width="13.5703125" style="1" bestFit="1" customWidth="1"/>
    <col min="15360" max="15362" width="11.5703125" style="1" bestFit="1" customWidth="1"/>
    <col min="15363" max="15363" width="7.42578125" style="1" bestFit="1" customWidth="1"/>
    <col min="15364" max="15364" width="8.42578125" style="1" customWidth="1"/>
    <col min="15365" max="15365" width="11.85546875" style="1" bestFit="1" customWidth="1"/>
    <col min="15366" max="15371" width="8" style="1" bestFit="1" customWidth="1"/>
    <col min="15372" max="15372" width="3" style="1" customWidth="1"/>
    <col min="15373" max="15614" width="11.42578125" style="1"/>
    <col min="15615" max="15615" width="13.5703125" style="1" bestFit="1" customWidth="1"/>
    <col min="15616" max="15618" width="11.5703125" style="1" bestFit="1" customWidth="1"/>
    <col min="15619" max="15619" width="7.42578125" style="1" bestFit="1" customWidth="1"/>
    <col min="15620" max="15620" width="8.42578125" style="1" customWidth="1"/>
    <col min="15621" max="15621" width="11.85546875" style="1" bestFit="1" customWidth="1"/>
    <col min="15622" max="15627" width="8" style="1" bestFit="1" customWidth="1"/>
    <col min="15628" max="15628" width="3" style="1" customWidth="1"/>
    <col min="15629" max="15870" width="11.42578125" style="1"/>
    <col min="15871" max="15871" width="13.5703125" style="1" bestFit="1" customWidth="1"/>
    <col min="15872" max="15874" width="11.5703125" style="1" bestFit="1" customWidth="1"/>
    <col min="15875" max="15875" width="7.42578125" style="1" bestFit="1" customWidth="1"/>
    <col min="15876" max="15876" width="8.42578125" style="1" customWidth="1"/>
    <col min="15877" max="15877" width="11.85546875" style="1" bestFit="1" customWidth="1"/>
    <col min="15878" max="15883" width="8" style="1" bestFit="1" customWidth="1"/>
    <col min="15884" max="15884" width="3" style="1" customWidth="1"/>
    <col min="15885" max="16126" width="11.42578125" style="1"/>
    <col min="16127" max="16127" width="13.5703125" style="1" bestFit="1" customWidth="1"/>
    <col min="16128" max="16130" width="11.5703125" style="1" bestFit="1" customWidth="1"/>
    <col min="16131" max="16131" width="7.42578125" style="1" bestFit="1" customWidth="1"/>
    <col min="16132" max="16132" width="8.42578125" style="1" customWidth="1"/>
    <col min="16133" max="16133" width="11.85546875" style="1" bestFit="1" customWidth="1"/>
    <col min="16134" max="16139" width="8" style="1" bestFit="1" customWidth="1"/>
    <col min="16140" max="16140" width="3" style="1" customWidth="1"/>
    <col min="16141" max="16384" width="11.42578125" style="1"/>
  </cols>
  <sheetData>
    <row r="1" spans="2:29" ht="25.5" customHeight="1">
      <c r="B1" s="290"/>
      <c r="C1" s="291"/>
      <c r="D1" s="310" t="s">
        <v>32</v>
      </c>
      <c r="E1" s="311"/>
      <c r="F1" s="311"/>
      <c r="G1" s="311"/>
      <c r="H1" s="311"/>
      <c r="I1" s="311"/>
      <c r="J1" s="311"/>
      <c r="K1" s="312"/>
      <c r="L1" s="342"/>
      <c r="M1" s="343"/>
      <c r="N1" s="343"/>
      <c r="O1" s="344"/>
      <c r="Q1" s="307"/>
      <c r="R1" s="307"/>
      <c r="S1" s="307"/>
      <c r="T1" s="307"/>
      <c r="U1" s="307"/>
      <c r="V1" s="307"/>
      <c r="W1" s="307"/>
      <c r="X1" s="307"/>
      <c r="Y1" s="296"/>
      <c r="Z1" s="296"/>
      <c r="AA1" s="283"/>
      <c r="AB1" s="283"/>
      <c r="AC1" s="283"/>
    </row>
    <row r="2" spans="2:29" ht="25.5" customHeight="1">
      <c r="B2" s="292"/>
      <c r="C2" s="293"/>
      <c r="D2" s="297" t="s">
        <v>31</v>
      </c>
      <c r="E2" s="298"/>
      <c r="F2" s="298"/>
      <c r="G2" s="298"/>
      <c r="H2" s="298"/>
      <c r="I2" s="298"/>
      <c r="J2" s="298"/>
      <c r="K2" s="299"/>
      <c r="L2" s="345"/>
      <c r="M2" s="346"/>
      <c r="N2" s="346"/>
      <c r="O2" s="347"/>
      <c r="Q2" s="307"/>
      <c r="R2" s="307"/>
      <c r="S2" s="307"/>
      <c r="T2" s="307"/>
      <c r="U2" s="307"/>
      <c r="V2" s="307"/>
      <c r="W2" s="307"/>
      <c r="X2" s="307"/>
      <c r="Y2" s="296"/>
      <c r="Z2" s="296"/>
      <c r="AA2" s="283"/>
      <c r="AB2" s="283"/>
      <c r="AC2" s="283"/>
    </row>
    <row r="3" spans="2:29" ht="25.5" customHeight="1">
      <c r="B3" s="294"/>
      <c r="C3" s="295"/>
      <c r="D3" s="300"/>
      <c r="E3" s="301"/>
      <c r="F3" s="301"/>
      <c r="G3" s="301"/>
      <c r="H3" s="301"/>
      <c r="I3" s="301"/>
      <c r="J3" s="301"/>
      <c r="K3" s="302"/>
      <c r="L3" s="348"/>
      <c r="M3" s="349"/>
      <c r="N3" s="349"/>
      <c r="O3" s="350"/>
      <c r="Q3" s="307"/>
      <c r="R3" s="307"/>
      <c r="S3" s="307"/>
      <c r="T3" s="307"/>
      <c r="U3" s="307"/>
      <c r="V3" s="307"/>
      <c r="W3" s="307"/>
      <c r="X3" s="307"/>
      <c r="Y3" s="296"/>
      <c r="Z3" s="296"/>
      <c r="AA3" s="282"/>
      <c r="AB3" s="283"/>
      <c r="AC3" s="283"/>
    </row>
    <row r="4" spans="2:29" ht="12.75" customHeight="1">
      <c r="B4" s="5"/>
      <c r="K4" s="284"/>
      <c r="L4" s="284"/>
      <c r="M4" s="284"/>
      <c r="N4" s="284"/>
      <c r="O4" s="285"/>
    </row>
    <row r="5" spans="2:29" ht="15" customHeight="1">
      <c r="B5" s="286" t="s">
        <v>0</v>
      </c>
      <c r="C5" s="287"/>
      <c r="D5" s="351" t="s">
        <v>269</v>
      </c>
      <c r="E5" s="351"/>
      <c r="F5" s="351"/>
      <c r="G5" s="351"/>
      <c r="H5" s="287" t="s">
        <v>1</v>
      </c>
      <c r="I5" s="287"/>
      <c r="J5" s="289" t="s">
        <v>141</v>
      </c>
      <c r="K5" s="289"/>
      <c r="L5" s="289"/>
      <c r="M5" s="289"/>
      <c r="N5" s="289"/>
      <c r="O5" s="9"/>
    </row>
    <row r="6" spans="2:29" ht="14.25" customHeight="1" thickBot="1">
      <c r="B6" s="92"/>
      <c r="C6" s="93"/>
      <c r="D6" s="93"/>
      <c r="E6" s="7"/>
      <c r="F6" s="7"/>
      <c r="G6" s="7"/>
      <c r="H6" s="7"/>
      <c r="I6" s="7"/>
      <c r="J6" s="7"/>
      <c r="K6" s="7"/>
      <c r="L6" s="7"/>
      <c r="M6" s="7"/>
      <c r="N6" s="7"/>
      <c r="O6" s="8"/>
    </row>
    <row r="7" spans="2:29" ht="20.25" customHeight="1" thickBot="1">
      <c r="B7" s="333" t="s">
        <v>2</v>
      </c>
      <c r="C7" s="334"/>
      <c r="D7" s="335"/>
      <c r="E7" s="336" t="s">
        <v>211</v>
      </c>
      <c r="F7" s="336"/>
      <c r="G7" s="336"/>
      <c r="H7" s="336"/>
      <c r="I7" s="336"/>
      <c r="J7" s="336"/>
      <c r="K7" s="336"/>
      <c r="L7" s="336"/>
      <c r="M7" s="336"/>
      <c r="N7" s="336"/>
      <c r="O7" s="337"/>
    </row>
    <row r="8" spans="2:29" ht="20.25" customHeight="1" thickBot="1">
      <c r="B8" s="333" t="s">
        <v>144</v>
      </c>
      <c r="C8" s="334"/>
      <c r="D8" s="335"/>
      <c r="E8" s="336" t="s">
        <v>212</v>
      </c>
      <c r="F8" s="336"/>
      <c r="G8" s="336"/>
      <c r="H8" s="336"/>
      <c r="I8" s="336"/>
      <c r="J8" s="336"/>
      <c r="K8" s="336"/>
      <c r="L8" s="336"/>
      <c r="M8" s="336"/>
      <c r="N8" s="336"/>
      <c r="O8" s="337"/>
    </row>
    <row r="9" spans="2:29" ht="20.25" customHeight="1" thickBot="1">
      <c r="B9" s="333" t="s">
        <v>4</v>
      </c>
      <c r="C9" s="334"/>
      <c r="D9" s="335"/>
      <c r="E9" s="338" t="s">
        <v>212</v>
      </c>
      <c r="F9" s="338"/>
      <c r="G9" s="338"/>
      <c r="H9" s="338"/>
      <c r="I9" s="338"/>
      <c r="J9" s="338"/>
      <c r="K9" s="338"/>
      <c r="L9" s="338"/>
      <c r="M9" s="338"/>
      <c r="N9" s="338"/>
      <c r="O9" s="339"/>
    </row>
    <row r="10" spans="2:29" ht="20.25" customHeight="1" thickBot="1">
      <c r="B10" s="333" t="s">
        <v>143</v>
      </c>
      <c r="C10" s="334"/>
      <c r="D10" s="335"/>
      <c r="E10" s="338" t="s">
        <v>212</v>
      </c>
      <c r="F10" s="338"/>
      <c r="G10" s="338"/>
      <c r="H10" s="338"/>
      <c r="I10" s="338"/>
      <c r="J10" s="338"/>
      <c r="K10" s="338"/>
      <c r="L10" s="338"/>
      <c r="M10" s="338"/>
      <c r="N10" s="338"/>
      <c r="O10" s="339"/>
      <c r="Q10" s="193">
        <v>2026</v>
      </c>
      <c r="R10" s="157">
        <v>2025</v>
      </c>
    </row>
    <row r="11" spans="2:29" ht="16.5" customHeight="1">
      <c r="B11" s="340" t="s">
        <v>136</v>
      </c>
      <c r="C11" s="341"/>
      <c r="D11" s="341"/>
      <c r="E11" s="220"/>
      <c r="F11" s="220"/>
      <c r="G11" s="220"/>
      <c r="H11" s="220"/>
      <c r="I11" s="220"/>
      <c r="J11" s="220"/>
      <c r="K11" s="220"/>
      <c r="L11" s="220"/>
      <c r="M11" s="220"/>
      <c r="N11" s="220"/>
      <c r="O11" s="221"/>
      <c r="Q11" s="89">
        <v>70</v>
      </c>
      <c r="R11" s="89"/>
    </row>
    <row r="12" spans="2:29" ht="25.5" customHeight="1">
      <c r="B12" s="265" t="s">
        <v>137</v>
      </c>
      <c r="C12" s="266"/>
      <c r="D12" s="266"/>
      <c r="E12" s="266"/>
      <c r="F12" s="266"/>
      <c r="G12" s="266"/>
      <c r="H12" s="266"/>
      <c r="I12" s="266"/>
      <c r="J12" s="266"/>
      <c r="K12" s="266"/>
      <c r="L12" s="266"/>
      <c r="M12" s="266"/>
      <c r="N12" s="266"/>
      <c r="O12" s="267"/>
      <c r="Q12" s="89">
        <v>73</v>
      </c>
      <c r="R12" s="89">
        <v>102</v>
      </c>
    </row>
    <row r="13" spans="2:29" ht="16.5" customHeight="1">
      <c r="B13" s="219" t="s">
        <v>12</v>
      </c>
      <c r="C13" s="220"/>
      <c r="D13" s="220"/>
      <c r="E13" s="220"/>
      <c r="F13" s="220"/>
      <c r="G13" s="220"/>
      <c r="H13" s="220"/>
      <c r="I13" s="220"/>
      <c r="J13" s="220"/>
      <c r="K13" s="220"/>
      <c r="L13" s="220"/>
      <c r="M13" s="220"/>
      <c r="N13" s="220"/>
      <c r="O13" s="221"/>
      <c r="Q13" s="89">
        <v>71</v>
      </c>
      <c r="R13" s="89">
        <v>144</v>
      </c>
    </row>
    <row r="14" spans="2:29" ht="18.75" customHeight="1">
      <c r="B14" s="244" t="s">
        <v>142</v>
      </c>
      <c r="C14" s="245"/>
      <c r="D14" s="245"/>
      <c r="E14" s="245"/>
      <c r="F14" s="245"/>
      <c r="G14" s="245"/>
      <c r="H14" s="245"/>
      <c r="I14" s="245"/>
      <c r="J14" s="245"/>
      <c r="K14" s="245"/>
      <c r="L14" s="245"/>
      <c r="M14" s="245"/>
      <c r="N14" s="245"/>
      <c r="O14" s="246"/>
      <c r="Q14" s="89">
        <v>81</v>
      </c>
      <c r="R14" s="89">
        <v>149</v>
      </c>
    </row>
    <row r="15" spans="2:29" ht="18.75" customHeight="1">
      <c r="B15" s="279" t="s">
        <v>13</v>
      </c>
      <c r="C15" s="228"/>
      <c r="D15" s="228"/>
      <c r="E15" s="228"/>
      <c r="F15" s="228"/>
      <c r="G15" s="228"/>
      <c r="H15" s="228"/>
      <c r="I15" s="228"/>
      <c r="J15" s="228"/>
      <c r="K15" s="228"/>
      <c r="L15" s="228"/>
      <c r="M15" s="228"/>
      <c r="N15" s="228"/>
      <c r="O15" s="352"/>
      <c r="Q15" s="89"/>
      <c r="R15" s="89">
        <v>189</v>
      </c>
    </row>
    <row r="16" spans="2:29" s="4" customFormat="1">
      <c r="B16" s="22"/>
      <c r="C16" s="22" t="s">
        <v>14</v>
      </c>
      <c r="D16" s="22" t="s">
        <v>15</v>
      </c>
      <c r="E16" s="22" t="s">
        <v>16</v>
      </c>
      <c r="F16" s="22" t="s">
        <v>17</v>
      </c>
      <c r="G16" s="22" t="s">
        <v>18</v>
      </c>
      <c r="H16" s="22" t="s">
        <v>19</v>
      </c>
      <c r="I16" s="22" t="s">
        <v>20</v>
      </c>
      <c r="J16" s="22" t="s">
        <v>21</v>
      </c>
      <c r="K16" s="22" t="s">
        <v>22</v>
      </c>
      <c r="L16" s="22" t="s">
        <v>23</v>
      </c>
      <c r="M16" s="22" t="s">
        <v>24</v>
      </c>
      <c r="N16" s="22" t="s">
        <v>25</v>
      </c>
      <c r="O16" s="24" t="s">
        <v>210</v>
      </c>
      <c r="Q16" s="156"/>
      <c r="R16" s="156">
        <v>185</v>
      </c>
    </row>
    <row r="17" spans="2:18" ht="24" customHeight="1">
      <c r="B17" s="117">
        <v>2026</v>
      </c>
      <c r="C17" s="113">
        <v>70</v>
      </c>
      <c r="D17" s="113">
        <v>73</v>
      </c>
      <c r="E17" s="113">
        <v>71</v>
      </c>
      <c r="F17" s="113">
        <v>81</v>
      </c>
      <c r="G17" s="113">
        <v>75</v>
      </c>
      <c r="H17" s="113">
        <v>80</v>
      </c>
      <c r="I17" s="113">
        <v>99</v>
      </c>
      <c r="J17" s="113">
        <v>99</v>
      </c>
      <c r="K17" s="113"/>
      <c r="L17" s="113"/>
      <c r="M17" s="113"/>
      <c r="N17" s="113"/>
      <c r="O17" s="115"/>
      <c r="Q17" s="89"/>
      <c r="R17" s="89">
        <v>152</v>
      </c>
    </row>
    <row r="18" spans="2:18" ht="24" customHeight="1">
      <c r="B18" s="116">
        <v>2025</v>
      </c>
      <c r="C18" s="111">
        <v>162</v>
      </c>
      <c r="D18" s="111">
        <v>116</v>
      </c>
      <c r="E18" s="111">
        <v>103</v>
      </c>
      <c r="F18" s="111">
        <v>120</v>
      </c>
      <c r="G18" s="111">
        <v>180</v>
      </c>
      <c r="H18" s="111">
        <v>175</v>
      </c>
      <c r="I18" s="111">
        <v>191</v>
      </c>
      <c r="J18" s="111">
        <v>194</v>
      </c>
      <c r="K18" s="111">
        <v>237</v>
      </c>
      <c r="L18" s="111">
        <v>215</v>
      </c>
      <c r="M18" s="111">
        <v>242</v>
      </c>
      <c r="N18" s="111">
        <v>287</v>
      </c>
      <c r="O18" s="112"/>
      <c r="Q18" s="89"/>
      <c r="R18" s="89">
        <v>138</v>
      </c>
    </row>
    <row r="19" spans="2:18" ht="18" customHeight="1" thickBot="1">
      <c r="B19" s="222" t="s">
        <v>28</v>
      </c>
      <c r="C19" s="223"/>
      <c r="D19" s="223"/>
      <c r="E19" s="223"/>
      <c r="F19" s="223"/>
      <c r="G19" s="223"/>
      <c r="H19" s="223"/>
      <c r="I19" s="223"/>
      <c r="J19" s="223"/>
      <c r="K19" s="223"/>
      <c r="L19" s="223"/>
      <c r="M19" s="223"/>
      <c r="N19" s="223"/>
      <c r="O19" s="224"/>
      <c r="Q19" s="89"/>
      <c r="R19" s="89">
        <v>237</v>
      </c>
    </row>
    <row r="20" spans="2:18" s="2" customFormat="1" ht="22.5" customHeight="1">
      <c r="B20" s="225"/>
      <c r="C20" s="225"/>
      <c r="D20" s="225"/>
      <c r="E20" s="225"/>
      <c r="F20" s="225"/>
      <c r="G20" s="225"/>
      <c r="H20" s="225"/>
      <c r="I20" s="225"/>
      <c r="J20" s="225"/>
      <c r="K20" s="225"/>
      <c r="L20" s="225"/>
      <c r="M20" s="225"/>
      <c r="N20" s="225"/>
      <c r="O20" s="225"/>
      <c r="Q20" s="158"/>
      <c r="R20" s="158">
        <v>215</v>
      </c>
    </row>
    <row r="21" spans="2:18" s="2" customFormat="1" ht="22.5" customHeight="1">
      <c r="B21" s="226"/>
      <c r="C21" s="226"/>
      <c r="D21" s="226"/>
      <c r="E21" s="226"/>
      <c r="F21" s="226"/>
      <c r="G21" s="226"/>
      <c r="H21" s="226"/>
      <c r="I21" s="226"/>
      <c r="J21" s="226"/>
      <c r="K21" s="226"/>
      <c r="L21" s="226"/>
      <c r="M21" s="226"/>
      <c r="N21" s="226"/>
      <c r="O21" s="226"/>
      <c r="Q21" s="158"/>
      <c r="R21" s="158">
        <v>242</v>
      </c>
    </row>
    <row r="22" spans="2:18" s="2" customFormat="1" ht="22.5" customHeight="1">
      <c r="B22" s="226"/>
      <c r="C22" s="226"/>
      <c r="D22" s="226"/>
      <c r="E22" s="226"/>
      <c r="F22" s="226"/>
      <c r="G22" s="226"/>
      <c r="H22" s="226"/>
      <c r="I22" s="226"/>
      <c r="J22" s="226"/>
      <c r="K22" s="226"/>
      <c r="L22" s="226"/>
      <c r="M22" s="226"/>
      <c r="N22" s="226"/>
      <c r="O22" s="226"/>
      <c r="Q22" s="158"/>
      <c r="R22" s="158"/>
    </row>
    <row r="23" spans="2:18" s="2" customFormat="1" ht="22.5" customHeight="1">
      <c r="B23" s="226"/>
      <c r="C23" s="226"/>
      <c r="D23" s="226"/>
      <c r="E23" s="226"/>
      <c r="F23" s="226"/>
      <c r="G23" s="226"/>
      <c r="H23" s="226"/>
      <c r="I23" s="226"/>
      <c r="J23" s="226"/>
      <c r="K23" s="226"/>
      <c r="L23" s="226"/>
      <c r="M23" s="226"/>
      <c r="N23" s="226"/>
      <c r="O23" s="226"/>
      <c r="Q23" s="158"/>
      <c r="R23" s="158"/>
    </row>
    <row r="24" spans="2:18" s="2" customFormat="1" ht="22.5" customHeight="1">
      <c r="B24" s="226"/>
      <c r="C24" s="226"/>
      <c r="D24" s="226"/>
      <c r="E24" s="226"/>
      <c r="F24" s="226"/>
      <c r="G24" s="226"/>
      <c r="H24" s="226"/>
      <c r="I24" s="226"/>
      <c r="J24" s="226"/>
      <c r="K24" s="226"/>
      <c r="L24" s="226"/>
      <c r="M24" s="226"/>
      <c r="N24" s="226"/>
      <c r="O24" s="226"/>
    </row>
    <row r="25" spans="2:18" ht="22.5" customHeight="1">
      <c r="B25" s="226"/>
      <c r="C25" s="226"/>
      <c r="D25" s="226"/>
      <c r="E25" s="226"/>
      <c r="F25" s="226"/>
      <c r="G25" s="226"/>
      <c r="H25" s="226"/>
      <c r="I25" s="226"/>
      <c r="J25" s="226"/>
      <c r="K25" s="226"/>
      <c r="L25" s="226"/>
      <c r="M25" s="226"/>
      <c r="N25" s="226"/>
      <c r="O25" s="226"/>
    </row>
    <row r="26" spans="2:18" ht="22.5" customHeight="1">
      <c r="B26" s="226"/>
      <c r="C26" s="226"/>
      <c r="D26" s="226"/>
      <c r="E26" s="226"/>
      <c r="F26" s="226"/>
      <c r="G26" s="226"/>
      <c r="H26" s="226"/>
      <c r="I26" s="226"/>
      <c r="J26" s="226"/>
      <c r="K26" s="226"/>
      <c r="L26" s="226"/>
      <c r="M26" s="226"/>
      <c r="N26" s="226"/>
      <c r="O26" s="226"/>
    </row>
    <row r="27" spans="2:18" ht="22.5" customHeight="1">
      <c r="B27" s="226"/>
      <c r="C27" s="226"/>
      <c r="D27" s="226"/>
      <c r="E27" s="226"/>
      <c r="F27" s="226"/>
      <c r="G27" s="226"/>
      <c r="H27" s="226"/>
      <c r="I27" s="226"/>
      <c r="J27" s="226"/>
      <c r="K27" s="226"/>
      <c r="L27" s="226"/>
      <c r="M27" s="226"/>
      <c r="N27" s="226"/>
      <c r="O27" s="226"/>
    </row>
    <row r="28" spans="2:18" ht="22.5" customHeight="1">
      <c r="B28" s="226"/>
      <c r="C28" s="226"/>
      <c r="D28" s="226"/>
      <c r="E28" s="226"/>
      <c r="F28" s="226"/>
      <c r="G28" s="226"/>
      <c r="H28" s="226"/>
      <c r="I28" s="226"/>
      <c r="J28" s="226"/>
      <c r="K28" s="226"/>
      <c r="L28" s="226"/>
      <c r="M28" s="226"/>
      <c r="N28" s="226"/>
      <c r="O28" s="226"/>
    </row>
    <row r="29" spans="2:18" ht="22.5" customHeight="1">
      <c r="B29" s="226"/>
      <c r="C29" s="226"/>
      <c r="D29" s="226"/>
      <c r="E29" s="226"/>
      <c r="F29" s="226"/>
      <c r="G29" s="226"/>
      <c r="H29" s="226"/>
      <c r="I29" s="226"/>
      <c r="J29" s="226"/>
      <c r="K29" s="226"/>
      <c r="L29" s="226"/>
      <c r="M29" s="226"/>
      <c r="N29" s="226"/>
      <c r="O29" s="226"/>
    </row>
    <row r="30" spans="2:18" ht="22.5" customHeight="1">
      <c r="B30" s="226"/>
      <c r="C30" s="226"/>
      <c r="D30" s="226"/>
      <c r="E30" s="226"/>
      <c r="F30" s="226"/>
      <c r="G30" s="226"/>
      <c r="H30" s="226"/>
      <c r="I30" s="226"/>
      <c r="J30" s="226"/>
      <c r="K30" s="226"/>
      <c r="L30" s="226"/>
      <c r="M30" s="226"/>
      <c r="N30" s="226"/>
      <c r="O30" s="226"/>
    </row>
    <row r="31" spans="2:18">
      <c r="B31" s="226"/>
      <c r="C31" s="226"/>
      <c r="D31" s="226"/>
      <c r="E31" s="226"/>
      <c r="F31" s="226"/>
      <c r="G31" s="226"/>
      <c r="H31" s="226"/>
      <c r="I31" s="226"/>
      <c r="J31" s="226"/>
      <c r="K31" s="226"/>
      <c r="L31" s="226"/>
      <c r="M31" s="226"/>
      <c r="N31" s="226"/>
      <c r="O31" s="226"/>
    </row>
    <row r="32" spans="2:18" ht="15" customHeight="1">
      <c r="B32" s="227" t="s">
        <v>207</v>
      </c>
      <c r="C32" s="228"/>
      <c r="D32" s="228"/>
      <c r="E32" s="228"/>
      <c r="F32" s="228"/>
      <c r="G32" s="228"/>
      <c r="H32" s="228"/>
      <c r="I32" s="228"/>
      <c r="J32" s="228"/>
      <c r="K32" s="228"/>
      <c r="L32" s="228"/>
      <c r="M32" s="228"/>
      <c r="N32" s="228"/>
      <c r="O32" s="229"/>
    </row>
    <row r="33" spans="2:15" ht="97.5" customHeight="1">
      <c r="B33" s="330"/>
      <c r="C33" s="331"/>
      <c r="D33" s="331"/>
      <c r="E33" s="331"/>
      <c r="F33" s="331"/>
      <c r="G33" s="331"/>
      <c r="H33" s="331"/>
      <c r="I33" s="331"/>
      <c r="J33" s="331"/>
      <c r="K33" s="331"/>
      <c r="L33" s="331"/>
      <c r="M33" s="331"/>
      <c r="N33" s="331"/>
      <c r="O33" s="332"/>
    </row>
    <row r="34" spans="2:15" ht="15.75" customHeight="1" thickBot="1"/>
    <row r="35" spans="2:15" ht="24.75" customHeight="1">
      <c r="B35" s="290"/>
      <c r="C35" s="291"/>
      <c r="D35" s="310" t="s">
        <v>32</v>
      </c>
      <c r="E35" s="311"/>
      <c r="F35" s="311"/>
      <c r="G35" s="311"/>
      <c r="H35" s="311"/>
      <c r="I35" s="311"/>
      <c r="J35" s="311"/>
      <c r="K35" s="312"/>
      <c r="L35" s="342"/>
      <c r="M35" s="343"/>
      <c r="N35" s="343"/>
      <c r="O35" s="344"/>
    </row>
    <row r="36" spans="2:15" ht="24.75" customHeight="1">
      <c r="B36" s="292"/>
      <c r="C36" s="293"/>
      <c r="D36" s="297" t="s">
        <v>31</v>
      </c>
      <c r="E36" s="298"/>
      <c r="F36" s="298"/>
      <c r="G36" s="298"/>
      <c r="H36" s="298"/>
      <c r="I36" s="298"/>
      <c r="J36" s="298"/>
      <c r="K36" s="299"/>
      <c r="L36" s="345"/>
      <c r="M36" s="346"/>
      <c r="N36" s="346"/>
      <c r="O36" s="347"/>
    </row>
    <row r="37" spans="2:15" ht="24.75" customHeight="1">
      <c r="B37" s="294"/>
      <c r="C37" s="295"/>
      <c r="D37" s="300"/>
      <c r="E37" s="301"/>
      <c r="F37" s="301"/>
      <c r="G37" s="301"/>
      <c r="H37" s="301"/>
      <c r="I37" s="301"/>
      <c r="J37" s="301"/>
      <c r="K37" s="302"/>
      <c r="L37" s="348"/>
      <c r="M37" s="349"/>
      <c r="N37" s="349"/>
      <c r="O37" s="350"/>
    </row>
    <row r="38" spans="2:15">
      <c r="B38" s="5"/>
      <c r="K38" s="284"/>
      <c r="L38" s="284"/>
      <c r="M38" s="284"/>
      <c r="N38" s="284"/>
      <c r="O38" s="285"/>
    </row>
    <row r="39" spans="2:15" ht="14.25">
      <c r="B39" s="286" t="s">
        <v>0</v>
      </c>
      <c r="C39" s="287"/>
      <c r="D39" s="351" t="s">
        <v>110</v>
      </c>
      <c r="E39" s="351"/>
      <c r="F39" s="351"/>
      <c r="G39" s="351"/>
      <c r="H39" s="287" t="s">
        <v>1</v>
      </c>
      <c r="I39" s="287"/>
      <c r="J39" s="289" t="s">
        <v>141</v>
      </c>
      <c r="K39" s="289"/>
      <c r="L39" s="289"/>
      <c r="M39" s="289"/>
      <c r="N39" s="289"/>
      <c r="O39" s="9"/>
    </row>
    <row r="40" spans="2:15" ht="12.75" thickBot="1">
      <c r="B40" s="92"/>
      <c r="C40" s="93"/>
      <c r="D40" s="93"/>
      <c r="E40" s="7"/>
      <c r="F40" s="7"/>
      <c r="G40" s="7"/>
      <c r="H40" s="7"/>
      <c r="I40" s="7"/>
      <c r="J40" s="7"/>
      <c r="K40" s="7"/>
      <c r="L40" s="7"/>
      <c r="M40" s="7"/>
      <c r="N40" s="7"/>
      <c r="O40" s="8"/>
    </row>
    <row r="41" spans="2:15" ht="22.5" customHeight="1" thickBot="1">
      <c r="B41" s="333" t="s">
        <v>2</v>
      </c>
      <c r="C41" s="334"/>
      <c r="D41" s="335"/>
      <c r="E41" s="336" t="s">
        <v>213</v>
      </c>
      <c r="F41" s="336"/>
      <c r="G41" s="336"/>
      <c r="H41" s="336"/>
      <c r="I41" s="336"/>
      <c r="J41" s="336"/>
      <c r="K41" s="336"/>
      <c r="L41" s="336"/>
      <c r="M41" s="336"/>
      <c r="N41" s="336"/>
      <c r="O41" s="337"/>
    </row>
    <row r="42" spans="2:15" ht="22.5" customHeight="1" thickBot="1">
      <c r="B42" s="333" t="s">
        <v>144</v>
      </c>
      <c r="C42" s="334"/>
      <c r="D42" s="335"/>
      <c r="E42" s="336" t="s">
        <v>212</v>
      </c>
      <c r="F42" s="336"/>
      <c r="G42" s="336"/>
      <c r="H42" s="336"/>
      <c r="I42" s="336"/>
      <c r="J42" s="336"/>
      <c r="K42" s="336"/>
      <c r="L42" s="336"/>
      <c r="M42" s="336"/>
      <c r="N42" s="336"/>
      <c r="O42" s="337"/>
    </row>
    <row r="43" spans="2:15" ht="22.5" customHeight="1" thickBot="1">
      <c r="B43" s="333" t="s">
        <v>4</v>
      </c>
      <c r="C43" s="334"/>
      <c r="D43" s="335"/>
      <c r="E43" s="338" t="s">
        <v>212</v>
      </c>
      <c r="F43" s="338"/>
      <c r="G43" s="338"/>
      <c r="H43" s="338"/>
      <c r="I43" s="338"/>
      <c r="J43" s="338"/>
      <c r="K43" s="338"/>
      <c r="L43" s="338"/>
      <c r="M43" s="338"/>
      <c r="N43" s="338"/>
      <c r="O43" s="339"/>
    </row>
    <row r="44" spans="2:15" ht="22.5" customHeight="1" thickBot="1">
      <c r="B44" s="333" t="s">
        <v>143</v>
      </c>
      <c r="C44" s="334"/>
      <c r="D44" s="335"/>
      <c r="E44" s="338" t="s">
        <v>212</v>
      </c>
      <c r="F44" s="338"/>
      <c r="G44" s="338"/>
      <c r="H44" s="338"/>
      <c r="I44" s="338"/>
      <c r="J44" s="338"/>
      <c r="K44" s="338"/>
      <c r="L44" s="338"/>
      <c r="M44" s="338"/>
      <c r="N44" s="338"/>
      <c r="O44" s="339"/>
    </row>
    <row r="45" spans="2:15">
      <c r="B45" s="340" t="s">
        <v>136</v>
      </c>
      <c r="C45" s="341"/>
      <c r="D45" s="341"/>
      <c r="E45" s="220"/>
      <c r="F45" s="220"/>
      <c r="G45" s="220"/>
      <c r="H45" s="220"/>
      <c r="I45" s="220"/>
      <c r="J45" s="220"/>
      <c r="K45" s="220"/>
      <c r="L45" s="220"/>
      <c r="M45" s="220"/>
      <c r="N45" s="220"/>
      <c r="O45" s="221"/>
    </row>
    <row r="46" spans="2:15">
      <c r="B46" s="265" t="s">
        <v>137</v>
      </c>
      <c r="C46" s="266"/>
      <c r="D46" s="266"/>
      <c r="E46" s="266"/>
      <c r="F46" s="266"/>
      <c r="G46" s="266"/>
      <c r="H46" s="266"/>
      <c r="I46" s="266"/>
      <c r="J46" s="266"/>
      <c r="K46" s="266"/>
      <c r="L46" s="266"/>
      <c r="M46" s="266"/>
      <c r="N46" s="266"/>
      <c r="O46" s="267"/>
    </row>
    <row r="47" spans="2:15">
      <c r="B47" s="219" t="s">
        <v>12</v>
      </c>
      <c r="C47" s="220"/>
      <c r="D47" s="220"/>
      <c r="E47" s="220"/>
      <c r="F47" s="220"/>
      <c r="G47" s="220"/>
      <c r="H47" s="220"/>
      <c r="I47" s="220"/>
      <c r="J47" s="220"/>
      <c r="K47" s="220"/>
      <c r="L47" s="220"/>
      <c r="M47" s="220"/>
      <c r="N47" s="220"/>
      <c r="O47" s="221"/>
    </row>
    <row r="48" spans="2:15">
      <c r="B48" s="244" t="s">
        <v>142</v>
      </c>
      <c r="C48" s="245"/>
      <c r="D48" s="245"/>
      <c r="E48" s="245"/>
      <c r="F48" s="245"/>
      <c r="G48" s="245"/>
      <c r="H48" s="245"/>
      <c r="I48" s="245"/>
      <c r="J48" s="245"/>
      <c r="K48" s="245"/>
      <c r="L48" s="245"/>
      <c r="M48" s="245"/>
      <c r="N48" s="245"/>
      <c r="O48" s="246"/>
    </row>
    <row r="49" spans="2:15">
      <c r="B49" s="219" t="s">
        <v>13</v>
      </c>
      <c r="C49" s="220"/>
      <c r="D49" s="220"/>
      <c r="E49" s="220"/>
      <c r="F49" s="220"/>
      <c r="G49" s="220"/>
      <c r="H49" s="220"/>
      <c r="I49" s="220"/>
      <c r="J49" s="220"/>
      <c r="K49" s="220"/>
      <c r="L49" s="220"/>
      <c r="M49" s="220"/>
      <c r="N49" s="220"/>
      <c r="O49" s="221"/>
    </row>
    <row r="50" spans="2:15">
      <c r="B50" s="22" t="s">
        <v>148</v>
      </c>
      <c r="C50" s="22" t="s">
        <v>14</v>
      </c>
      <c r="D50" s="22" t="s">
        <v>15</v>
      </c>
      <c r="E50" s="22" t="s">
        <v>16</v>
      </c>
      <c r="F50" s="22" t="s">
        <v>17</v>
      </c>
      <c r="G50" s="22" t="s">
        <v>18</v>
      </c>
      <c r="H50" s="22" t="s">
        <v>19</v>
      </c>
      <c r="I50" s="22" t="s">
        <v>20</v>
      </c>
      <c r="J50" s="22" t="s">
        <v>21</v>
      </c>
      <c r="K50" s="22" t="s">
        <v>22</v>
      </c>
      <c r="L50" s="22" t="s">
        <v>23</v>
      </c>
      <c r="M50" s="22" t="s">
        <v>24</v>
      </c>
      <c r="N50" s="22" t="s">
        <v>25</v>
      </c>
      <c r="O50" s="24" t="s">
        <v>45</v>
      </c>
    </row>
    <row r="51" spans="2:15" ht="33.75" customHeight="1">
      <c r="B51" s="116">
        <v>2025</v>
      </c>
      <c r="C51" s="111">
        <v>47</v>
      </c>
      <c r="D51" s="111">
        <v>38</v>
      </c>
      <c r="E51" s="111">
        <v>144</v>
      </c>
      <c r="F51" s="111">
        <v>32</v>
      </c>
      <c r="G51" s="111">
        <v>83</v>
      </c>
      <c r="H51" s="111">
        <v>86</v>
      </c>
      <c r="I51" s="111">
        <v>52</v>
      </c>
      <c r="J51" s="111">
        <v>33</v>
      </c>
      <c r="K51" s="192">
        <v>41</v>
      </c>
      <c r="L51" s="192">
        <v>90</v>
      </c>
      <c r="M51" s="192">
        <v>101</v>
      </c>
      <c r="N51" s="192">
        <v>54</v>
      </c>
      <c r="O51" s="112"/>
    </row>
    <row r="52" spans="2:15" ht="33.75" customHeight="1">
      <c r="B52" s="117">
        <v>2026</v>
      </c>
      <c r="C52" s="194">
        <v>7</v>
      </c>
      <c r="D52" s="194">
        <v>15</v>
      </c>
      <c r="E52" s="194">
        <v>15</v>
      </c>
      <c r="F52" s="194">
        <v>24</v>
      </c>
      <c r="G52" s="194">
        <v>22</v>
      </c>
      <c r="H52" s="194">
        <v>20</v>
      </c>
      <c r="I52" s="194"/>
      <c r="J52" s="194"/>
      <c r="K52" s="195"/>
      <c r="L52" s="195"/>
      <c r="M52" s="195"/>
      <c r="N52" s="195"/>
      <c r="O52" s="196"/>
    </row>
    <row r="53" spans="2:15" ht="12.75" thickBot="1">
      <c r="B53" s="222" t="s">
        <v>28</v>
      </c>
      <c r="C53" s="223"/>
      <c r="D53" s="223"/>
      <c r="E53" s="223"/>
      <c r="F53" s="223"/>
      <c r="G53" s="223"/>
      <c r="H53" s="223"/>
      <c r="I53" s="223"/>
      <c r="J53" s="223"/>
      <c r="K53" s="223"/>
      <c r="L53" s="223"/>
      <c r="M53" s="223"/>
      <c r="N53" s="223"/>
      <c r="O53" s="224"/>
    </row>
    <row r="54" spans="2:15" ht="22.5" customHeight="1">
      <c r="B54" s="225"/>
      <c r="C54" s="225"/>
      <c r="D54" s="225"/>
      <c r="E54" s="225"/>
      <c r="F54" s="225"/>
      <c r="G54" s="225"/>
      <c r="H54" s="225"/>
      <c r="I54" s="225"/>
      <c r="J54" s="225"/>
      <c r="K54" s="225"/>
      <c r="L54" s="225"/>
      <c r="M54" s="225"/>
      <c r="N54" s="225"/>
      <c r="O54" s="225"/>
    </row>
    <row r="55" spans="2:15" ht="22.5" customHeight="1">
      <c r="B55" s="226"/>
      <c r="C55" s="226"/>
      <c r="D55" s="226"/>
      <c r="E55" s="226"/>
      <c r="F55" s="226"/>
      <c r="G55" s="226"/>
      <c r="H55" s="226"/>
      <c r="I55" s="226"/>
      <c r="J55" s="226"/>
      <c r="K55" s="226"/>
      <c r="L55" s="226"/>
      <c r="M55" s="226"/>
      <c r="N55" s="226"/>
      <c r="O55" s="226"/>
    </row>
    <row r="56" spans="2:15" ht="22.5" customHeight="1">
      <c r="B56" s="226"/>
      <c r="C56" s="226"/>
      <c r="D56" s="226"/>
      <c r="E56" s="226"/>
      <c r="F56" s="226"/>
      <c r="G56" s="226"/>
      <c r="H56" s="226"/>
      <c r="I56" s="226"/>
      <c r="J56" s="226"/>
      <c r="K56" s="226"/>
      <c r="L56" s="226"/>
      <c r="M56" s="226"/>
      <c r="N56" s="226"/>
      <c r="O56" s="226"/>
    </row>
    <row r="57" spans="2:15" ht="22.5" customHeight="1">
      <c r="B57" s="226"/>
      <c r="C57" s="226"/>
      <c r="D57" s="226"/>
      <c r="E57" s="226"/>
      <c r="F57" s="226"/>
      <c r="G57" s="226"/>
      <c r="H57" s="226"/>
      <c r="I57" s="226"/>
      <c r="J57" s="226"/>
      <c r="K57" s="226"/>
      <c r="L57" s="226"/>
      <c r="M57" s="226"/>
      <c r="N57" s="226"/>
      <c r="O57" s="226"/>
    </row>
    <row r="58" spans="2:15" ht="22.5" customHeight="1">
      <c r="B58" s="226"/>
      <c r="C58" s="226"/>
      <c r="D58" s="226"/>
      <c r="E58" s="226"/>
      <c r="F58" s="226"/>
      <c r="G58" s="226"/>
      <c r="H58" s="226"/>
      <c r="I58" s="226"/>
      <c r="J58" s="226"/>
      <c r="K58" s="226"/>
      <c r="L58" s="226"/>
      <c r="M58" s="226"/>
      <c r="N58" s="226"/>
      <c r="O58" s="226"/>
    </row>
    <row r="59" spans="2:15" ht="22.5" customHeight="1">
      <c r="B59" s="226"/>
      <c r="C59" s="226"/>
      <c r="D59" s="226"/>
      <c r="E59" s="226"/>
      <c r="F59" s="226"/>
      <c r="G59" s="226"/>
      <c r="H59" s="226"/>
      <c r="I59" s="226"/>
      <c r="J59" s="226"/>
      <c r="K59" s="226"/>
      <c r="L59" s="226"/>
      <c r="M59" s="226"/>
      <c r="N59" s="226"/>
      <c r="O59" s="226"/>
    </row>
    <row r="60" spans="2:15" ht="22.5" customHeight="1">
      <c r="B60" s="226"/>
      <c r="C60" s="226"/>
      <c r="D60" s="226"/>
      <c r="E60" s="226"/>
      <c r="F60" s="226"/>
      <c r="G60" s="226"/>
      <c r="H60" s="226"/>
      <c r="I60" s="226"/>
      <c r="J60" s="226"/>
      <c r="K60" s="226"/>
      <c r="L60" s="226"/>
      <c r="M60" s="226"/>
      <c r="N60" s="226"/>
      <c r="O60" s="226"/>
    </row>
    <row r="61" spans="2:15" ht="22.5" customHeight="1">
      <c r="B61" s="226"/>
      <c r="C61" s="226"/>
      <c r="D61" s="226"/>
      <c r="E61" s="226"/>
      <c r="F61" s="226"/>
      <c r="G61" s="226"/>
      <c r="H61" s="226"/>
      <c r="I61" s="226"/>
      <c r="J61" s="226"/>
      <c r="K61" s="226"/>
      <c r="L61" s="226"/>
      <c r="M61" s="226"/>
      <c r="N61" s="226"/>
      <c r="O61" s="226"/>
    </row>
    <row r="62" spans="2:15" ht="22.5" customHeight="1">
      <c r="B62" s="226"/>
      <c r="C62" s="226"/>
      <c r="D62" s="226"/>
      <c r="E62" s="226"/>
      <c r="F62" s="226"/>
      <c r="G62" s="226"/>
      <c r="H62" s="226"/>
      <c r="I62" s="226"/>
      <c r="J62" s="226"/>
      <c r="K62" s="226"/>
      <c r="L62" s="226"/>
      <c r="M62" s="226"/>
      <c r="N62" s="226"/>
      <c r="O62" s="226"/>
    </row>
    <row r="63" spans="2:15" ht="22.5" customHeight="1">
      <c r="B63" s="226"/>
      <c r="C63" s="226"/>
      <c r="D63" s="226"/>
      <c r="E63" s="226"/>
      <c r="F63" s="226"/>
      <c r="G63" s="226"/>
      <c r="H63" s="226"/>
      <c r="I63" s="226"/>
      <c r="J63" s="226"/>
      <c r="K63" s="226"/>
      <c r="L63" s="226"/>
      <c r="M63" s="226"/>
      <c r="N63" s="226"/>
      <c r="O63" s="226"/>
    </row>
    <row r="64" spans="2:15" ht="22.5" customHeight="1">
      <c r="B64" s="226"/>
      <c r="C64" s="226"/>
      <c r="D64" s="226"/>
      <c r="E64" s="226"/>
      <c r="F64" s="226"/>
      <c r="G64" s="226"/>
      <c r="H64" s="226"/>
      <c r="I64" s="226"/>
      <c r="J64" s="226"/>
      <c r="K64" s="226"/>
      <c r="L64" s="226"/>
      <c r="M64" s="226"/>
      <c r="N64" s="226"/>
      <c r="O64" s="226"/>
    </row>
    <row r="65" spans="2:15" ht="22.5" customHeight="1">
      <c r="B65" s="226"/>
      <c r="C65" s="226"/>
      <c r="D65" s="226"/>
      <c r="E65" s="226"/>
      <c r="F65" s="226"/>
      <c r="G65" s="226"/>
      <c r="H65" s="226"/>
      <c r="I65" s="226"/>
      <c r="J65" s="226"/>
      <c r="K65" s="226"/>
      <c r="L65" s="226"/>
      <c r="M65" s="226"/>
      <c r="N65" s="226"/>
      <c r="O65" s="226"/>
    </row>
    <row r="66" spans="2:15">
      <c r="B66" s="227" t="s">
        <v>207</v>
      </c>
      <c r="C66" s="228"/>
      <c r="D66" s="228"/>
      <c r="E66" s="228"/>
      <c r="F66" s="228"/>
      <c r="G66" s="228"/>
      <c r="H66" s="228"/>
      <c r="I66" s="228"/>
      <c r="J66" s="228"/>
      <c r="K66" s="228"/>
      <c r="L66" s="228"/>
      <c r="M66" s="228"/>
      <c r="N66" s="228"/>
      <c r="O66" s="229"/>
    </row>
    <row r="67" spans="2:15" ht="114" customHeight="1">
      <c r="B67" s="330"/>
      <c r="C67" s="331"/>
      <c r="D67" s="331"/>
      <c r="E67" s="331"/>
      <c r="F67" s="331"/>
      <c r="G67" s="331"/>
      <c r="H67" s="331"/>
      <c r="I67" s="331"/>
      <c r="J67" s="331"/>
      <c r="K67" s="331"/>
      <c r="L67" s="331"/>
      <c r="M67" s="331"/>
      <c r="N67" s="331"/>
      <c r="O67" s="332"/>
    </row>
    <row r="68" spans="2:15" ht="12.75" thickBot="1"/>
    <row r="69" spans="2:15" ht="22.5" customHeight="1">
      <c r="B69" s="290"/>
      <c r="C69" s="291"/>
      <c r="D69" s="310" t="s">
        <v>32</v>
      </c>
      <c r="E69" s="311"/>
      <c r="F69" s="311"/>
      <c r="G69" s="311"/>
      <c r="H69" s="311"/>
      <c r="I69" s="311"/>
      <c r="J69" s="311"/>
      <c r="K69" s="312"/>
      <c r="L69" s="342"/>
      <c r="M69" s="343"/>
      <c r="N69" s="343"/>
      <c r="O69" s="344"/>
    </row>
    <row r="70" spans="2:15" ht="22.5" customHeight="1">
      <c r="B70" s="292"/>
      <c r="C70" s="293"/>
      <c r="D70" s="297" t="s">
        <v>31</v>
      </c>
      <c r="E70" s="298"/>
      <c r="F70" s="298"/>
      <c r="G70" s="298"/>
      <c r="H70" s="298"/>
      <c r="I70" s="298"/>
      <c r="J70" s="298"/>
      <c r="K70" s="299"/>
      <c r="L70" s="345"/>
      <c r="M70" s="346"/>
      <c r="N70" s="346"/>
      <c r="O70" s="347"/>
    </row>
    <row r="71" spans="2:15" ht="22.5" customHeight="1">
      <c r="B71" s="294"/>
      <c r="C71" s="295"/>
      <c r="D71" s="300"/>
      <c r="E71" s="301"/>
      <c r="F71" s="301"/>
      <c r="G71" s="301"/>
      <c r="H71" s="301"/>
      <c r="I71" s="301"/>
      <c r="J71" s="301"/>
      <c r="K71" s="302"/>
      <c r="L71" s="348"/>
      <c r="M71" s="349"/>
      <c r="N71" s="349"/>
      <c r="O71" s="350"/>
    </row>
    <row r="72" spans="2:15">
      <c r="B72" s="5"/>
      <c r="K72" s="284"/>
      <c r="L72" s="284"/>
      <c r="M72" s="284"/>
      <c r="N72" s="284"/>
      <c r="O72" s="285"/>
    </row>
    <row r="73" spans="2:15" ht="14.25">
      <c r="B73" s="286" t="s">
        <v>0</v>
      </c>
      <c r="C73" s="287"/>
      <c r="D73" s="351" t="s">
        <v>269</v>
      </c>
      <c r="E73" s="351"/>
      <c r="F73" s="351"/>
      <c r="G73" s="351"/>
      <c r="H73" s="287" t="s">
        <v>1</v>
      </c>
      <c r="I73" s="287"/>
      <c r="J73" s="289" t="s">
        <v>141</v>
      </c>
      <c r="K73" s="289"/>
      <c r="L73" s="289"/>
      <c r="M73" s="289"/>
      <c r="N73" s="289"/>
      <c r="O73" s="9"/>
    </row>
    <row r="74" spans="2:15" ht="12.75" thickBot="1">
      <c r="B74" s="92"/>
      <c r="C74" s="93"/>
      <c r="D74" s="93"/>
      <c r="E74" s="7"/>
      <c r="F74" s="7"/>
      <c r="G74" s="7"/>
      <c r="H74" s="7"/>
      <c r="I74" s="7"/>
      <c r="J74" s="7"/>
      <c r="K74" s="7"/>
      <c r="L74" s="7"/>
      <c r="M74" s="7"/>
      <c r="N74" s="7"/>
      <c r="O74" s="8"/>
    </row>
    <row r="75" spans="2:15" ht="21" customHeight="1" thickBot="1">
      <c r="B75" s="333" t="s">
        <v>2</v>
      </c>
      <c r="C75" s="334"/>
      <c r="D75" s="335"/>
      <c r="E75" s="336" t="s">
        <v>214</v>
      </c>
      <c r="F75" s="336"/>
      <c r="G75" s="336"/>
      <c r="H75" s="336"/>
      <c r="I75" s="336"/>
      <c r="J75" s="336"/>
      <c r="K75" s="336"/>
      <c r="L75" s="336"/>
      <c r="M75" s="336"/>
      <c r="N75" s="336"/>
      <c r="O75" s="337"/>
    </row>
    <row r="76" spans="2:15" ht="21" customHeight="1" thickBot="1">
      <c r="B76" s="333" t="s">
        <v>144</v>
      </c>
      <c r="C76" s="334"/>
      <c r="D76" s="335"/>
      <c r="E76" s="336" t="s">
        <v>212</v>
      </c>
      <c r="F76" s="336"/>
      <c r="G76" s="336"/>
      <c r="H76" s="336"/>
      <c r="I76" s="336"/>
      <c r="J76" s="336"/>
      <c r="K76" s="336"/>
      <c r="L76" s="336"/>
      <c r="M76" s="336"/>
      <c r="N76" s="336"/>
      <c r="O76" s="337"/>
    </row>
    <row r="77" spans="2:15" ht="21" customHeight="1" thickBot="1">
      <c r="B77" s="333" t="s">
        <v>4</v>
      </c>
      <c r="C77" s="334"/>
      <c r="D77" s="335"/>
      <c r="E77" s="338" t="s">
        <v>212</v>
      </c>
      <c r="F77" s="338"/>
      <c r="G77" s="338"/>
      <c r="H77" s="338"/>
      <c r="I77" s="338"/>
      <c r="J77" s="338"/>
      <c r="K77" s="338"/>
      <c r="L77" s="338"/>
      <c r="M77" s="338"/>
      <c r="N77" s="338"/>
      <c r="O77" s="339"/>
    </row>
    <row r="78" spans="2:15" ht="21" customHeight="1" thickBot="1">
      <c r="B78" s="333" t="s">
        <v>143</v>
      </c>
      <c r="C78" s="334"/>
      <c r="D78" s="335"/>
      <c r="E78" s="338" t="s">
        <v>212</v>
      </c>
      <c r="F78" s="338"/>
      <c r="G78" s="338"/>
      <c r="H78" s="338"/>
      <c r="I78" s="338"/>
      <c r="J78" s="338"/>
      <c r="K78" s="338"/>
      <c r="L78" s="338"/>
      <c r="M78" s="338"/>
      <c r="N78" s="338"/>
      <c r="O78" s="339"/>
    </row>
    <row r="79" spans="2:15">
      <c r="B79" s="340" t="s">
        <v>136</v>
      </c>
      <c r="C79" s="341"/>
      <c r="D79" s="341"/>
      <c r="E79" s="220"/>
      <c r="F79" s="220"/>
      <c r="G79" s="220"/>
      <c r="H79" s="220"/>
      <c r="I79" s="220"/>
      <c r="J79" s="220"/>
      <c r="K79" s="220"/>
      <c r="L79" s="220"/>
      <c r="M79" s="220"/>
      <c r="N79" s="220"/>
      <c r="O79" s="221"/>
    </row>
    <row r="80" spans="2:15">
      <c r="B80" s="265" t="s">
        <v>137</v>
      </c>
      <c r="C80" s="266"/>
      <c r="D80" s="266"/>
      <c r="E80" s="266"/>
      <c r="F80" s="266"/>
      <c r="G80" s="266"/>
      <c r="H80" s="266"/>
      <c r="I80" s="266"/>
      <c r="J80" s="266"/>
      <c r="K80" s="266"/>
      <c r="L80" s="266"/>
      <c r="M80" s="266"/>
      <c r="N80" s="266"/>
      <c r="O80" s="267"/>
    </row>
    <row r="81" spans="2:15">
      <c r="B81" s="219" t="s">
        <v>12</v>
      </c>
      <c r="C81" s="220"/>
      <c r="D81" s="220"/>
      <c r="E81" s="220"/>
      <c r="F81" s="220"/>
      <c r="G81" s="220"/>
      <c r="H81" s="220"/>
      <c r="I81" s="220"/>
      <c r="J81" s="220"/>
      <c r="K81" s="220"/>
      <c r="L81" s="220"/>
      <c r="M81" s="220"/>
      <c r="N81" s="220"/>
      <c r="O81" s="221"/>
    </row>
    <row r="82" spans="2:15">
      <c r="B82" s="244" t="s">
        <v>142</v>
      </c>
      <c r="C82" s="245"/>
      <c r="D82" s="245"/>
      <c r="E82" s="245"/>
      <c r="F82" s="245"/>
      <c r="G82" s="245"/>
      <c r="H82" s="245"/>
      <c r="I82" s="245"/>
      <c r="J82" s="245"/>
      <c r="K82" s="245"/>
      <c r="L82" s="245"/>
      <c r="M82" s="245"/>
      <c r="N82" s="245"/>
      <c r="O82" s="246"/>
    </row>
    <row r="83" spans="2:15">
      <c r="B83" s="219" t="s">
        <v>13</v>
      </c>
      <c r="C83" s="220"/>
      <c r="D83" s="220"/>
      <c r="E83" s="220"/>
      <c r="F83" s="220"/>
      <c r="G83" s="220"/>
      <c r="H83" s="220"/>
      <c r="I83" s="220"/>
      <c r="J83" s="220"/>
      <c r="K83" s="220"/>
      <c r="L83" s="220"/>
      <c r="M83" s="220"/>
      <c r="N83" s="220"/>
      <c r="O83" s="221"/>
    </row>
    <row r="84" spans="2:15">
      <c r="B84" s="22" t="s">
        <v>148</v>
      </c>
      <c r="C84" s="22" t="s">
        <v>14</v>
      </c>
      <c r="D84" s="22" t="s">
        <v>15</v>
      </c>
      <c r="E84" s="22" t="s">
        <v>16</v>
      </c>
      <c r="F84" s="22" t="s">
        <v>17</v>
      </c>
      <c r="G84" s="22" t="s">
        <v>18</v>
      </c>
      <c r="H84" s="22" t="s">
        <v>19</v>
      </c>
      <c r="I84" s="22" t="s">
        <v>20</v>
      </c>
      <c r="J84" s="22" t="s">
        <v>21</v>
      </c>
      <c r="K84" s="22" t="s">
        <v>22</v>
      </c>
      <c r="L84" s="22" t="s">
        <v>23</v>
      </c>
      <c r="M84" s="22" t="s">
        <v>24</v>
      </c>
      <c r="N84" s="22" t="s">
        <v>25</v>
      </c>
      <c r="O84" s="24" t="s">
        <v>45</v>
      </c>
    </row>
    <row r="85" spans="2:15" ht="19.5" customHeight="1">
      <c r="B85" s="117">
        <v>2026</v>
      </c>
      <c r="C85" s="113">
        <v>57</v>
      </c>
      <c r="D85" s="113">
        <v>51</v>
      </c>
      <c r="E85" s="113">
        <v>48</v>
      </c>
      <c r="F85" s="113">
        <v>50</v>
      </c>
      <c r="G85" s="113">
        <v>47</v>
      </c>
      <c r="H85" s="113">
        <v>51</v>
      </c>
      <c r="I85" s="113"/>
      <c r="J85" s="113"/>
      <c r="K85" s="113"/>
      <c r="L85" s="113"/>
      <c r="M85" s="113"/>
      <c r="N85" s="113"/>
      <c r="O85" s="115"/>
    </row>
    <row r="86" spans="2:15" ht="19.5" customHeight="1">
      <c r="B86" s="116">
        <v>2025</v>
      </c>
      <c r="C86" s="111">
        <v>68</v>
      </c>
      <c r="D86" s="111">
        <v>64</v>
      </c>
      <c r="E86" s="111">
        <v>111</v>
      </c>
      <c r="F86" s="111">
        <v>113</v>
      </c>
      <c r="G86" s="111">
        <v>102</v>
      </c>
      <c r="H86" s="111">
        <v>94</v>
      </c>
      <c r="I86" s="111">
        <v>92</v>
      </c>
      <c r="J86" s="111">
        <v>94</v>
      </c>
      <c r="K86" s="111">
        <v>99</v>
      </c>
      <c r="L86" s="111">
        <v>76</v>
      </c>
      <c r="M86" s="111">
        <v>59</v>
      </c>
      <c r="N86" s="111">
        <v>37</v>
      </c>
      <c r="O86" s="112"/>
    </row>
    <row r="87" spans="2:15" ht="12.75" thickBot="1">
      <c r="B87" s="222" t="s">
        <v>28</v>
      </c>
      <c r="C87" s="223"/>
      <c r="D87" s="223"/>
      <c r="E87" s="223"/>
      <c r="F87" s="223"/>
      <c r="G87" s="223"/>
      <c r="H87" s="223"/>
      <c r="I87" s="223"/>
      <c r="J87" s="223"/>
      <c r="K87" s="223"/>
      <c r="L87" s="223"/>
      <c r="M87" s="223"/>
      <c r="N87" s="223"/>
      <c r="O87" s="224"/>
    </row>
    <row r="88" spans="2:15" ht="22.5" customHeight="1">
      <c r="B88" s="225"/>
      <c r="C88" s="225"/>
      <c r="D88" s="225"/>
      <c r="E88" s="225"/>
      <c r="F88" s="225"/>
      <c r="G88" s="225"/>
      <c r="H88" s="225"/>
      <c r="I88" s="225"/>
      <c r="J88" s="225"/>
      <c r="K88" s="225"/>
      <c r="L88" s="225"/>
      <c r="M88" s="225"/>
      <c r="N88" s="225"/>
      <c r="O88" s="225"/>
    </row>
    <row r="89" spans="2:15" ht="22.5" customHeight="1">
      <c r="B89" s="226"/>
      <c r="C89" s="226"/>
      <c r="D89" s="226"/>
      <c r="E89" s="226"/>
      <c r="F89" s="226"/>
      <c r="G89" s="226"/>
      <c r="H89" s="226"/>
      <c r="I89" s="226"/>
      <c r="J89" s="226"/>
      <c r="K89" s="226"/>
      <c r="L89" s="226"/>
      <c r="M89" s="226"/>
      <c r="N89" s="226"/>
      <c r="O89" s="226"/>
    </row>
    <row r="90" spans="2:15" ht="22.5" customHeight="1">
      <c r="B90" s="226"/>
      <c r="C90" s="226"/>
      <c r="D90" s="226"/>
      <c r="E90" s="226"/>
      <c r="F90" s="226"/>
      <c r="G90" s="226"/>
      <c r="H90" s="226"/>
      <c r="I90" s="226"/>
      <c r="J90" s="226"/>
      <c r="K90" s="226"/>
      <c r="L90" s="226"/>
      <c r="M90" s="226"/>
      <c r="N90" s="226"/>
      <c r="O90" s="226"/>
    </row>
    <row r="91" spans="2:15" ht="22.5" customHeight="1">
      <c r="B91" s="226"/>
      <c r="C91" s="226"/>
      <c r="D91" s="226"/>
      <c r="E91" s="226"/>
      <c r="F91" s="226"/>
      <c r="G91" s="226"/>
      <c r="H91" s="226"/>
      <c r="I91" s="226"/>
      <c r="J91" s="226"/>
      <c r="K91" s="226"/>
      <c r="L91" s="226"/>
      <c r="M91" s="226"/>
      <c r="N91" s="226"/>
      <c r="O91" s="226"/>
    </row>
    <row r="92" spans="2:15" ht="22.5" customHeight="1">
      <c r="B92" s="226"/>
      <c r="C92" s="226"/>
      <c r="D92" s="226"/>
      <c r="E92" s="226"/>
      <c r="F92" s="226"/>
      <c r="G92" s="226"/>
      <c r="H92" s="226"/>
      <c r="I92" s="226"/>
      <c r="J92" s="226"/>
      <c r="K92" s="226"/>
      <c r="L92" s="226"/>
      <c r="M92" s="226"/>
      <c r="N92" s="226"/>
      <c r="O92" s="226"/>
    </row>
    <row r="93" spans="2:15" ht="22.5" customHeight="1">
      <c r="B93" s="226"/>
      <c r="C93" s="226"/>
      <c r="D93" s="226"/>
      <c r="E93" s="226"/>
      <c r="F93" s="226"/>
      <c r="G93" s="226"/>
      <c r="H93" s="226"/>
      <c r="I93" s="226"/>
      <c r="J93" s="226"/>
      <c r="K93" s="226"/>
      <c r="L93" s="226"/>
      <c r="M93" s="226"/>
      <c r="N93" s="226"/>
      <c r="O93" s="226"/>
    </row>
    <row r="94" spans="2:15" ht="22.5" customHeight="1">
      <c r="B94" s="226"/>
      <c r="C94" s="226"/>
      <c r="D94" s="226"/>
      <c r="E94" s="226"/>
      <c r="F94" s="226"/>
      <c r="G94" s="226"/>
      <c r="H94" s="226"/>
      <c r="I94" s="226"/>
      <c r="J94" s="226"/>
      <c r="K94" s="226"/>
      <c r="L94" s="226"/>
      <c r="M94" s="226"/>
      <c r="N94" s="226"/>
      <c r="O94" s="226"/>
    </row>
    <row r="95" spans="2:15" ht="22.5" customHeight="1">
      <c r="B95" s="226"/>
      <c r="C95" s="226"/>
      <c r="D95" s="226"/>
      <c r="E95" s="226"/>
      <c r="F95" s="226"/>
      <c r="G95" s="226"/>
      <c r="H95" s="226"/>
      <c r="I95" s="226"/>
      <c r="J95" s="226"/>
      <c r="K95" s="226"/>
      <c r="L95" s="226"/>
      <c r="M95" s="226"/>
      <c r="N95" s="226"/>
      <c r="O95" s="226"/>
    </row>
    <row r="96" spans="2:15" ht="22.5" customHeight="1">
      <c r="B96" s="226"/>
      <c r="C96" s="226"/>
      <c r="D96" s="226"/>
      <c r="E96" s="226"/>
      <c r="F96" s="226"/>
      <c r="G96" s="226"/>
      <c r="H96" s="226"/>
      <c r="I96" s="226"/>
      <c r="J96" s="226"/>
      <c r="K96" s="226"/>
      <c r="L96" s="226"/>
      <c r="M96" s="226"/>
      <c r="N96" s="226"/>
      <c r="O96" s="226"/>
    </row>
    <row r="97" spans="2:15" ht="22.5" customHeight="1">
      <c r="B97" s="226"/>
      <c r="C97" s="226"/>
      <c r="D97" s="226"/>
      <c r="E97" s="226"/>
      <c r="F97" s="226"/>
      <c r="G97" s="226"/>
      <c r="H97" s="226"/>
      <c r="I97" s="226"/>
      <c r="J97" s="226"/>
      <c r="K97" s="226"/>
      <c r="L97" s="226"/>
      <c r="M97" s="226"/>
      <c r="N97" s="226"/>
      <c r="O97" s="226"/>
    </row>
    <row r="98" spans="2:15" ht="79.5" customHeight="1">
      <c r="B98" s="226"/>
      <c r="C98" s="226"/>
      <c r="D98" s="226"/>
      <c r="E98" s="226"/>
      <c r="F98" s="226"/>
      <c r="G98" s="226"/>
      <c r="H98" s="226"/>
      <c r="I98" s="226"/>
      <c r="J98" s="226"/>
      <c r="K98" s="226"/>
      <c r="L98" s="226"/>
      <c r="M98" s="226"/>
      <c r="N98" s="226"/>
      <c r="O98" s="226"/>
    </row>
    <row r="99" spans="2:15" ht="22.5" customHeight="1">
      <c r="B99" s="226"/>
      <c r="C99" s="226"/>
      <c r="D99" s="226"/>
      <c r="E99" s="226"/>
      <c r="F99" s="226"/>
      <c r="G99" s="226"/>
      <c r="H99" s="226"/>
      <c r="I99" s="226"/>
      <c r="J99" s="226"/>
      <c r="K99" s="226"/>
      <c r="L99" s="226"/>
      <c r="M99" s="226"/>
      <c r="N99" s="226"/>
      <c r="O99" s="226"/>
    </row>
    <row r="100" spans="2:15">
      <c r="B100" s="227" t="s">
        <v>207</v>
      </c>
      <c r="C100" s="228"/>
      <c r="D100" s="228"/>
      <c r="E100" s="228"/>
      <c r="F100" s="228"/>
      <c r="G100" s="228"/>
      <c r="H100" s="228"/>
      <c r="I100" s="228"/>
      <c r="J100" s="228"/>
      <c r="K100" s="228"/>
      <c r="L100" s="228"/>
      <c r="M100" s="228"/>
      <c r="N100" s="228"/>
      <c r="O100" s="229"/>
    </row>
    <row r="101" spans="2:15" ht="115.5" customHeight="1">
      <c r="B101" s="330"/>
      <c r="C101" s="331"/>
      <c r="D101" s="331"/>
      <c r="E101" s="331"/>
      <c r="F101" s="331"/>
      <c r="G101" s="331"/>
      <c r="H101" s="331"/>
      <c r="I101" s="331"/>
      <c r="J101" s="331"/>
      <c r="K101" s="331"/>
      <c r="L101" s="331"/>
      <c r="M101" s="331"/>
      <c r="N101" s="331"/>
      <c r="O101" s="332"/>
    </row>
  </sheetData>
  <sheetProtection pivotTables="0"/>
  <mergeCells count="86">
    <mergeCell ref="B1:C3"/>
    <mergeCell ref="E7:O7"/>
    <mergeCell ref="K4:O4"/>
    <mergeCell ref="D5:G5"/>
    <mergeCell ref="H5:I5"/>
    <mergeCell ref="J5:N5"/>
    <mergeCell ref="B7:D7"/>
    <mergeCell ref="B5:C5"/>
    <mergeCell ref="AA1:AC1"/>
    <mergeCell ref="D2:K3"/>
    <mergeCell ref="Q2:X3"/>
    <mergeCell ref="Y2:Z2"/>
    <mergeCell ref="AA2:AC2"/>
    <mergeCell ref="Y3:Z3"/>
    <mergeCell ref="AA3:AC3"/>
    <mergeCell ref="D1:K1"/>
    <mergeCell ref="L1:O3"/>
    <mergeCell ref="Q1:X1"/>
    <mergeCell ref="Y1:Z1"/>
    <mergeCell ref="B19:O19"/>
    <mergeCell ref="B8:D8"/>
    <mergeCell ref="E8:O8"/>
    <mergeCell ref="B9:D9"/>
    <mergeCell ref="E9:O9"/>
    <mergeCell ref="B10:D10"/>
    <mergeCell ref="E10:O10"/>
    <mergeCell ref="B11:O11"/>
    <mergeCell ref="B12:O12"/>
    <mergeCell ref="B13:O13"/>
    <mergeCell ref="B14:O14"/>
    <mergeCell ref="B15:O15"/>
    <mergeCell ref="H39:I39"/>
    <mergeCell ref="J39:N39"/>
    <mergeCell ref="B20:O31"/>
    <mergeCell ref="B32:O32"/>
    <mergeCell ref="B33:O33"/>
    <mergeCell ref="E44:O44"/>
    <mergeCell ref="B49:O49"/>
    <mergeCell ref="B41:D41"/>
    <mergeCell ref="E41:O41"/>
    <mergeCell ref="B42:D42"/>
    <mergeCell ref="E42:O42"/>
    <mergeCell ref="B43:D43"/>
    <mergeCell ref="E43:O43"/>
    <mergeCell ref="B53:O53"/>
    <mergeCell ref="B54:O65"/>
    <mergeCell ref="B67:O67"/>
    <mergeCell ref="B66:O66"/>
    <mergeCell ref="B35:C37"/>
    <mergeCell ref="D35:K35"/>
    <mergeCell ref="L35:O37"/>
    <mergeCell ref="D36:K37"/>
    <mergeCell ref="K38:O38"/>
    <mergeCell ref="B39:C39"/>
    <mergeCell ref="D39:G39"/>
    <mergeCell ref="B45:O45"/>
    <mergeCell ref="B46:O46"/>
    <mergeCell ref="B47:O47"/>
    <mergeCell ref="B48:O48"/>
    <mergeCell ref="B44:D44"/>
    <mergeCell ref="L69:O71"/>
    <mergeCell ref="D70:K71"/>
    <mergeCell ref="K72:O72"/>
    <mergeCell ref="B73:C73"/>
    <mergeCell ref="D73:G73"/>
    <mergeCell ref="H73:I73"/>
    <mergeCell ref="J73:N73"/>
    <mergeCell ref="B69:C71"/>
    <mergeCell ref="D69:K69"/>
    <mergeCell ref="B82:O82"/>
    <mergeCell ref="B75:D75"/>
    <mergeCell ref="E75:O75"/>
    <mergeCell ref="B76:D76"/>
    <mergeCell ref="E76:O76"/>
    <mergeCell ref="B77:D77"/>
    <mergeCell ref="E77:O77"/>
    <mergeCell ref="B78:D78"/>
    <mergeCell ref="E78:O78"/>
    <mergeCell ref="B79:O79"/>
    <mergeCell ref="B80:O80"/>
    <mergeCell ref="B81:O81"/>
    <mergeCell ref="B83:O83"/>
    <mergeCell ref="B87:O87"/>
    <mergeCell ref="B88:O99"/>
    <mergeCell ref="B100:O100"/>
    <mergeCell ref="B101:O10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List!$G$2:$G$17</xm:f>
          </x14:formula1>
          <xm:sqref>D5:G5 D39:G39 D73:G73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B1:AG33"/>
  <sheetViews>
    <sheetView topLeftCell="A19" zoomScaleNormal="100" workbookViewId="0">
      <selection activeCell="B20" sqref="B20:O31"/>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269</v>
      </c>
      <c r="E5" s="351"/>
      <c r="F5" s="351"/>
      <c r="G5" s="351"/>
      <c r="H5" s="287" t="s">
        <v>1</v>
      </c>
      <c r="I5" s="287"/>
      <c r="J5" s="289" t="s">
        <v>141</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228</v>
      </c>
      <c r="F7" s="277"/>
      <c r="G7" s="277"/>
      <c r="H7" s="277"/>
      <c r="I7" s="277"/>
      <c r="J7" s="277"/>
      <c r="K7" s="277"/>
      <c r="L7" s="277"/>
      <c r="M7" s="277"/>
      <c r="N7" s="277"/>
      <c r="O7" s="278"/>
      <c r="Q7" s="2"/>
    </row>
    <row r="8" spans="2:33" ht="20.25" customHeight="1" thickBot="1">
      <c r="B8" s="333" t="s">
        <v>144</v>
      </c>
      <c r="C8" s="334"/>
      <c r="D8" s="335"/>
      <c r="E8" s="277" t="s">
        <v>145</v>
      </c>
      <c r="F8" s="277"/>
      <c r="G8" s="277"/>
      <c r="H8" s="277"/>
      <c r="I8" s="277"/>
      <c r="J8" s="277"/>
      <c r="K8" s="277"/>
      <c r="L8" s="277"/>
      <c r="M8" s="277"/>
      <c r="N8" s="277"/>
      <c r="O8" s="278"/>
    </row>
    <row r="9" spans="2:33" ht="20.25" customHeight="1" thickBot="1">
      <c r="B9" s="333" t="s">
        <v>4</v>
      </c>
      <c r="C9" s="334"/>
      <c r="D9" s="335"/>
      <c r="E9" s="356" t="s">
        <v>146</v>
      </c>
      <c r="F9" s="356"/>
      <c r="G9" s="356"/>
      <c r="H9" s="356"/>
      <c r="I9" s="356"/>
      <c r="J9" s="356"/>
      <c r="K9" s="356"/>
      <c r="L9" s="356"/>
      <c r="M9" s="356"/>
      <c r="N9" s="356"/>
      <c r="O9" s="357"/>
    </row>
    <row r="10" spans="2:33" ht="20.25" customHeight="1" thickBot="1">
      <c r="B10" s="333" t="s">
        <v>143</v>
      </c>
      <c r="C10" s="334"/>
      <c r="D10" s="335"/>
      <c r="E10" s="356" t="s">
        <v>147</v>
      </c>
      <c r="F10" s="356"/>
      <c r="G10" s="356"/>
      <c r="H10" s="356"/>
      <c r="I10" s="356"/>
      <c r="J10" s="356"/>
      <c r="K10" s="356"/>
      <c r="L10" s="356"/>
      <c r="M10" s="356"/>
      <c r="N10" s="356"/>
      <c r="O10" s="357"/>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row>
    <row r="14" spans="2:33" ht="18.75" customHeight="1">
      <c r="B14" s="244" t="s">
        <v>142</v>
      </c>
      <c r="C14" s="245"/>
      <c r="D14" s="245"/>
      <c r="E14" s="245"/>
      <c r="F14" s="245"/>
      <c r="G14" s="245"/>
      <c r="H14" s="245"/>
      <c r="I14" s="245"/>
      <c r="J14" s="245"/>
      <c r="K14" s="245"/>
      <c r="L14" s="245"/>
      <c r="M14" s="245"/>
      <c r="N14" s="245"/>
      <c r="O14" s="246"/>
    </row>
    <row r="15" spans="2:33" ht="18.75" customHeight="1">
      <c r="B15" s="219" t="s">
        <v>13</v>
      </c>
      <c r="C15" s="220"/>
      <c r="D15" s="220"/>
      <c r="E15" s="220"/>
      <c r="F15" s="220"/>
      <c r="G15" s="220"/>
      <c r="H15" s="220"/>
      <c r="I15" s="220"/>
      <c r="J15" s="220"/>
      <c r="K15" s="220"/>
      <c r="L15" s="220"/>
      <c r="M15" s="220"/>
      <c r="N15" s="220"/>
      <c r="O15" s="221"/>
    </row>
    <row r="16" spans="2:33"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6" t="s">
        <v>296</v>
      </c>
      <c r="C17" s="134">
        <v>1</v>
      </c>
      <c r="D17" s="134">
        <v>3</v>
      </c>
      <c r="E17" s="134">
        <v>0</v>
      </c>
      <c r="F17" s="134">
        <v>1</v>
      </c>
      <c r="G17" s="134">
        <v>0</v>
      </c>
      <c r="H17" s="134">
        <v>2</v>
      </c>
      <c r="I17" s="134">
        <v>1</v>
      </c>
      <c r="J17" s="134">
        <v>4</v>
      </c>
      <c r="K17" s="134"/>
      <c r="L17" s="134"/>
      <c r="M17" s="134"/>
      <c r="N17" s="134"/>
      <c r="O17" s="90"/>
    </row>
    <row r="18" spans="2:15" ht="21" customHeight="1">
      <c r="B18" s="197" t="s">
        <v>265</v>
      </c>
      <c r="C18" s="200">
        <v>3</v>
      </c>
      <c r="D18" s="200">
        <v>4</v>
      </c>
      <c r="E18" s="200">
        <v>4</v>
      </c>
      <c r="F18" s="200">
        <v>2</v>
      </c>
      <c r="G18" s="200">
        <v>4</v>
      </c>
      <c r="H18" s="200">
        <v>5</v>
      </c>
      <c r="I18" s="200">
        <v>5</v>
      </c>
      <c r="J18" s="200">
        <v>1</v>
      </c>
      <c r="K18" s="200">
        <v>3</v>
      </c>
      <c r="L18" s="200">
        <v>3</v>
      </c>
      <c r="M18" s="200">
        <v>5</v>
      </c>
      <c r="N18" s="200">
        <v>1</v>
      </c>
      <c r="O18" s="199"/>
    </row>
    <row r="19" spans="2:15" ht="18" customHeight="1" thickBot="1">
      <c r="B19" s="222" t="s">
        <v>28</v>
      </c>
      <c r="C19" s="223"/>
      <c r="D19" s="223"/>
      <c r="E19" s="223"/>
      <c r="F19" s="223"/>
      <c r="G19" s="223"/>
      <c r="H19" s="223"/>
      <c r="I19" s="223"/>
      <c r="J19" s="223"/>
      <c r="K19" s="223"/>
      <c r="L19" s="223"/>
      <c r="M19" s="223"/>
      <c r="N19" s="223"/>
      <c r="O19" s="224"/>
    </row>
    <row r="20" spans="2:15" s="2" customFormat="1" ht="27" customHeight="1">
      <c r="B20" s="225"/>
      <c r="C20" s="225"/>
      <c r="D20" s="225"/>
      <c r="E20" s="225"/>
      <c r="F20" s="225"/>
      <c r="G20" s="225"/>
      <c r="H20" s="225"/>
      <c r="I20" s="225"/>
      <c r="J20" s="225"/>
      <c r="K20" s="225"/>
      <c r="L20" s="225"/>
      <c r="M20" s="225"/>
      <c r="N20" s="225"/>
      <c r="O20" s="225"/>
    </row>
    <row r="21" spans="2:15" s="2" customFormat="1" ht="27" customHeight="1">
      <c r="B21" s="226"/>
      <c r="C21" s="226"/>
      <c r="D21" s="226"/>
      <c r="E21" s="226"/>
      <c r="F21" s="226"/>
      <c r="G21" s="226"/>
      <c r="H21" s="226"/>
      <c r="I21" s="226"/>
      <c r="J21" s="226"/>
      <c r="K21" s="226"/>
      <c r="L21" s="226"/>
      <c r="M21" s="226"/>
      <c r="N21" s="226"/>
      <c r="O21" s="226"/>
    </row>
    <row r="22" spans="2:15" s="2" customFormat="1" ht="27" customHeight="1">
      <c r="B22" s="226"/>
      <c r="C22" s="226"/>
      <c r="D22" s="226"/>
      <c r="E22" s="226"/>
      <c r="F22" s="226"/>
      <c r="G22" s="226"/>
      <c r="H22" s="226"/>
      <c r="I22" s="226"/>
      <c r="J22" s="226"/>
      <c r="K22" s="226"/>
      <c r="L22" s="226"/>
      <c r="M22" s="226"/>
      <c r="N22" s="226"/>
      <c r="O22" s="226"/>
    </row>
    <row r="23" spans="2:15" s="2" customFormat="1" ht="27" customHeight="1">
      <c r="B23" s="226"/>
      <c r="C23" s="226"/>
      <c r="D23" s="226"/>
      <c r="E23" s="226"/>
      <c r="F23" s="226"/>
      <c r="G23" s="226"/>
      <c r="H23" s="226"/>
      <c r="I23" s="226"/>
      <c r="J23" s="226"/>
      <c r="K23" s="226"/>
      <c r="L23" s="226"/>
      <c r="M23" s="226"/>
      <c r="N23" s="226"/>
      <c r="O23" s="226"/>
    </row>
    <row r="24" spans="2:15" s="2" customFormat="1" ht="27" customHeight="1">
      <c r="B24" s="226"/>
      <c r="C24" s="226"/>
      <c r="D24" s="226"/>
      <c r="E24" s="226"/>
      <c r="F24" s="226"/>
      <c r="G24" s="226"/>
      <c r="H24" s="226"/>
      <c r="I24" s="226"/>
      <c r="J24" s="226"/>
      <c r="K24" s="226"/>
      <c r="L24" s="226"/>
      <c r="M24" s="226"/>
      <c r="N24" s="226"/>
      <c r="O24" s="226"/>
    </row>
    <row r="25" spans="2:15" ht="27" customHeight="1">
      <c r="B25" s="226"/>
      <c r="C25" s="226"/>
      <c r="D25" s="226"/>
      <c r="E25" s="226"/>
      <c r="F25" s="226"/>
      <c r="G25" s="226"/>
      <c r="H25" s="226"/>
      <c r="I25" s="226"/>
      <c r="J25" s="226"/>
      <c r="K25" s="226"/>
      <c r="L25" s="226"/>
      <c r="M25" s="226"/>
      <c r="N25" s="226"/>
      <c r="O25" s="226"/>
    </row>
    <row r="26" spans="2:15" ht="27" customHeight="1">
      <c r="B26" s="226"/>
      <c r="C26" s="226"/>
      <c r="D26" s="226"/>
      <c r="E26" s="226"/>
      <c r="F26" s="226"/>
      <c r="G26" s="226"/>
      <c r="H26" s="226"/>
      <c r="I26" s="226"/>
      <c r="J26" s="226"/>
      <c r="K26" s="226"/>
      <c r="L26" s="226"/>
      <c r="M26" s="226"/>
      <c r="N26" s="226"/>
      <c r="O26" s="226"/>
    </row>
    <row r="27" spans="2:15" ht="27" customHeight="1">
      <c r="B27" s="226"/>
      <c r="C27" s="226"/>
      <c r="D27" s="226"/>
      <c r="E27" s="226"/>
      <c r="F27" s="226"/>
      <c r="G27" s="226"/>
      <c r="H27" s="226"/>
      <c r="I27" s="226"/>
      <c r="J27" s="226"/>
      <c r="K27" s="226"/>
      <c r="L27" s="226"/>
      <c r="M27" s="226"/>
      <c r="N27" s="226"/>
      <c r="O27" s="226"/>
    </row>
    <row r="28" spans="2:15" ht="27" customHeight="1">
      <c r="B28" s="226"/>
      <c r="C28" s="226"/>
      <c r="D28" s="226"/>
      <c r="E28" s="226"/>
      <c r="F28" s="226"/>
      <c r="G28" s="226"/>
      <c r="H28" s="226"/>
      <c r="I28" s="226"/>
      <c r="J28" s="226"/>
      <c r="K28" s="226"/>
      <c r="L28" s="226"/>
      <c r="M28" s="226"/>
      <c r="N28" s="226"/>
      <c r="O28" s="226"/>
    </row>
    <row r="29" spans="2:15" ht="27" customHeight="1">
      <c r="B29" s="226"/>
      <c r="C29" s="226"/>
      <c r="D29" s="226"/>
      <c r="E29" s="226"/>
      <c r="F29" s="226"/>
      <c r="G29" s="226"/>
      <c r="H29" s="226"/>
      <c r="I29" s="226"/>
      <c r="J29" s="226"/>
      <c r="K29" s="226"/>
      <c r="L29" s="226"/>
      <c r="M29" s="226"/>
      <c r="N29" s="226"/>
      <c r="O29" s="226"/>
    </row>
    <row r="30" spans="2:15" ht="27" customHeight="1">
      <c r="B30" s="226"/>
      <c r="C30" s="226"/>
      <c r="D30" s="226"/>
      <c r="E30" s="226"/>
      <c r="F30" s="226"/>
      <c r="G30" s="226"/>
      <c r="H30" s="226"/>
      <c r="I30" s="226"/>
      <c r="J30" s="226"/>
      <c r="K30" s="226"/>
      <c r="L30" s="226"/>
      <c r="M30" s="226"/>
      <c r="N30" s="226"/>
      <c r="O30" s="226"/>
    </row>
    <row r="31" spans="2:15" ht="27" customHeight="1">
      <c r="B31" s="226"/>
      <c r="C31" s="226"/>
      <c r="D31" s="226"/>
      <c r="E31" s="226"/>
      <c r="F31" s="226"/>
      <c r="G31" s="226"/>
      <c r="H31" s="226"/>
      <c r="I31" s="226"/>
      <c r="J31" s="226"/>
      <c r="K31" s="226"/>
      <c r="L31" s="226"/>
      <c r="M31" s="226"/>
      <c r="N31" s="226"/>
      <c r="O31" s="226"/>
    </row>
    <row r="32" spans="2:15" ht="15" customHeight="1">
      <c r="B32" s="220" t="s">
        <v>208</v>
      </c>
      <c r="C32" s="220"/>
      <c r="D32" s="220"/>
      <c r="E32" s="220"/>
      <c r="F32" s="220"/>
      <c r="G32" s="220"/>
      <c r="H32" s="220"/>
      <c r="I32" s="220"/>
      <c r="J32" s="220"/>
      <c r="K32" s="220"/>
      <c r="L32" s="220"/>
      <c r="M32" s="220"/>
      <c r="N32" s="220"/>
      <c r="O32" s="220"/>
    </row>
    <row r="33" spans="2:15" ht="63" customHeight="1">
      <c r="B33" s="353" t="s">
        <v>290</v>
      </c>
      <c r="C33" s="354"/>
      <c r="D33" s="354"/>
      <c r="E33" s="354"/>
      <c r="F33" s="354"/>
      <c r="G33" s="354"/>
      <c r="H33" s="354"/>
      <c r="I33" s="354"/>
      <c r="J33" s="354"/>
      <c r="K33" s="354"/>
      <c r="L33" s="354"/>
      <c r="M33" s="354"/>
      <c r="N33" s="354"/>
      <c r="O33" s="355"/>
    </row>
  </sheetData>
  <sheetProtection pivotTables="0"/>
  <mergeCells count="35">
    <mergeCell ref="K4:O4"/>
    <mergeCell ref="B1:C3"/>
    <mergeCell ref="D1:K1"/>
    <mergeCell ref="L1:O3"/>
    <mergeCell ref="R1:S3"/>
    <mergeCell ref="T1:AB1"/>
    <mergeCell ref="AE1:AG1"/>
    <mergeCell ref="D2:K3"/>
    <mergeCell ref="T2:AB3"/>
    <mergeCell ref="AC2:AD2"/>
    <mergeCell ref="AE2:AG2"/>
    <mergeCell ref="AC3:AD3"/>
    <mergeCell ref="AE3:AG3"/>
    <mergeCell ref="AC1:AD1"/>
    <mergeCell ref="B5:C5"/>
    <mergeCell ref="D5:G5"/>
    <mergeCell ref="H5:I5"/>
    <mergeCell ref="J5:N5"/>
    <mergeCell ref="B8:D8"/>
    <mergeCell ref="E8:O8"/>
    <mergeCell ref="B7:D7"/>
    <mergeCell ref="E7:O7"/>
    <mergeCell ref="B9:D9"/>
    <mergeCell ref="E9:O9"/>
    <mergeCell ref="B10:D10"/>
    <mergeCell ref="E10:O10"/>
    <mergeCell ref="B20:O31"/>
    <mergeCell ref="B32:O32"/>
    <mergeCell ref="B33:O33"/>
    <mergeCell ref="B11:O11"/>
    <mergeCell ref="B12:O12"/>
    <mergeCell ref="B13:O13"/>
    <mergeCell ref="B14:O14"/>
    <mergeCell ref="B15:O15"/>
    <mergeCell ref="B19:O19"/>
  </mergeCells>
  <pageMargins left="0.7" right="0.7" top="0.75" bottom="0.75" header="0.3" footer="0.3"/>
  <pageSetup orientation="portrait"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List!$G$2:$G$17</xm:f>
          </x14:formula1>
          <xm:sqref>D5:G5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9900"/>
  </sheetPr>
  <dimension ref="A1:T55"/>
  <sheetViews>
    <sheetView showGridLines="0" topLeftCell="B21" zoomScale="90" zoomScaleNormal="90" workbookViewId="0">
      <selection activeCell="K41" sqref="K41"/>
    </sheetView>
  </sheetViews>
  <sheetFormatPr baseColWidth="10" defaultRowHeight="15"/>
  <cols>
    <col min="1" max="1" width="2.7109375" customWidth="1"/>
    <col min="2" max="2" width="5.5703125" style="49" customWidth="1"/>
    <col min="3" max="3" width="26.140625" customWidth="1"/>
    <col min="4" max="4" width="30.5703125" style="47" customWidth="1"/>
    <col min="5" max="5" width="7.7109375" style="47" customWidth="1"/>
    <col min="6" max="9" width="9.5703125" customWidth="1"/>
    <col min="10" max="10" width="9.5703125" style="49" customWidth="1"/>
    <col min="11" max="15" width="9.5703125" customWidth="1"/>
    <col min="16" max="17" width="10.28515625" customWidth="1"/>
    <col min="18" max="18" width="15" customWidth="1"/>
    <col min="19" max="19" width="19.28515625" customWidth="1"/>
    <col min="20" max="20" width="3" customWidth="1"/>
  </cols>
  <sheetData>
    <row r="1" spans="1:20" ht="15.75" thickBot="1">
      <c r="A1" s="50"/>
      <c r="B1" s="51"/>
      <c r="C1" s="52"/>
      <c r="D1" s="53"/>
      <c r="E1" s="53"/>
      <c r="F1" s="51"/>
      <c r="G1" s="51"/>
      <c r="H1" s="51"/>
      <c r="I1" s="51"/>
      <c r="J1" s="51"/>
      <c r="K1" s="51"/>
      <c r="L1" s="51"/>
      <c r="M1" s="51"/>
      <c r="N1" s="51"/>
      <c r="O1" s="51"/>
      <c r="P1" s="51"/>
      <c r="Q1" s="51"/>
      <c r="R1" s="51"/>
      <c r="S1" s="51"/>
      <c r="T1" s="54"/>
    </row>
    <row r="2" spans="1:20" ht="24" customHeight="1">
      <c r="A2" s="55"/>
      <c r="B2" s="362"/>
      <c r="C2" s="362"/>
      <c r="D2" s="361" t="s">
        <v>32</v>
      </c>
      <c r="E2" s="361"/>
      <c r="F2" s="361"/>
      <c r="G2" s="361"/>
      <c r="H2" s="361"/>
      <c r="I2" s="361"/>
      <c r="J2" s="361"/>
      <c r="K2" s="361"/>
      <c r="L2" s="361"/>
      <c r="M2" s="361"/>
      <c r="N2" s="361"/>
      <c r="O2" s="342"/>
      <c r="P2" s="343"/>
      <c r="Q2" s="343"/>
      <c r="R2" s="343"/>
      <c r="S2" s="344"/>
      <c r="T2" s="62"/>
    </row>
    <row r="3" spans="1:20" ht="24" customHeight="1">
      <c r="A3" s="55"/>
      <c r="B3" s="362"/>
      <c r="C3" s="362"/>
      <c r="D3" s="361" t="s">
        <v>100</v>
      </c>
      <c r="E3" s="361"/>
      <c r="F3" s="361"/>
      <c r="G3" s="361"/>
      <c r="H3" s="361"/>
      <c r="I3" s="361"/>
      <c r="J3" s="361"/>
      <c r="K3" s="361"/>
      <c r="L3" s="361"/>
      <c r="M3" s="361"/>
      <c r="N3" s="361"/>
      <c r="O3" s="345"/>
      <c r="P3" s="346"/>
      <c r="Q3" s="346"/>
      <c r="R3" s="346"/>
      <c r="S3" s="347"/>
      <c r="T3" s="62"/>
    </row>
    <row r="4" spans="1:20" ht="24" customHeight="1">
      <c r="A4" s="55"/>
      <c r="B4" s="362"/>
      <c r="C4" s="362"/>
      <c r="D4" s="361"/>
      <c r="E4" s="361"/>
      <c r="F4" s="361"/>
      <c r="G4" s="361"/>
      <c r="H4" s="361"/>
      <c r="I4" s="361"/>
      <c r="J4" s="361"/>
      <c r="K4" s="361"/>
      <c r="L4" s="361"/>
      <c r="M4" s="361"/>
      <c r="N4" s="361"/>
      <c r="O4" s="348"/>
      <c r="P4" s="349"/>
      <c r="Q4" s="349"/>
      <c r="R4" s="349"/>
      <c r="S4" s="350"/>
      <c r="T4" s="62"/>
    </row>
    <row r="5" spans="1:20" ht="15.75">
      <c r="A5" s="55"/>
      <c r="B5" s="125"/>
      <c r="C5" s="123"/>
      <c r="D5" s="123"/>
      <c r="E5" s="123"/>
      <c r="F5" s="123"/>
      <c r="G5" s="123"/>
      <c r="H5" s="123"/>
      <c r="I5" s="123"/>
      <c r="J5" s="125"/>
      <c r="K5" s="123"/>
      <c r="L5" s="123"/>
      <c r="M5" s="123"/>
      <c r="N5" s="123"/>
      <c r="O5" s="44"/>
      <c r="P5" s="44"/>
      <c r="Q5" s="44"/>
      <c r="R5" s="44"/>
      <c r="S5" s="64"/>
      <c r="T5" s="62"/>
    </row>
    <row r="6" spans="1:20" ht="29.25" customHeight="1">
      <c r="A6" s="55"/>
      <c r="B6" s="124" t="s">
        <v>138</v>
      </c>
      <c r="C6" s="72" t="s">
        <v>122</v>
      </c>
      <c r="D6" s="72" t="s">
        <v>139</v>
      </c>
      <c r="E6" s="72" t="s">
        <v>26</v>
      </c>
      <c r="F6" s="66" t="s">
        <v>14</v>
      </c>
      <c r="G6" s="66" t="s">
        <v>15</v>
      </c>
      <c r="H6" s="66" t="s">
        <v>16</v>
      </c>
      <c r="I6" s="66" t="s">
        <v>17</v>
      </c>
      <c r="J6" s="66" t="s">
        <v>18</v>
      </c>
      <c r="K6" s="66" t="s">
        <v>19</v>
      </c>
      <c r="L6" s="66" t="s">
        <v>20</v>
      </c>
      <c r="M6" s="66" t="s">
        <v>21</v>
      </c>
      <c r="N6" s="66" t="s">
        <v>123</v>
      </c>
      <c r="O6" s="66" t="s">
        <v>23</v>
      </c>
      <c r="P6" s="66" t="s">
        <v>24</v>
      </c>
      <c r="Q6" s="66" t="s">
        <v>25</v>
      </c>
      <c r="R6" s="121" t="s">
        <v>222</v>
      </c>
      <c r="S6" s="121" t="s">
        <v>223</v>
      </c>
      <c r="T6" s="62"/>
    </row>
    <row r="7" spans="1:20" ht="41.25" customHeight="1">
      <c r="A7" s="55"/>
      <c r="B7" s="367">
        <v>1</v>
      </c>
      <c r="C7" s="363" t="s">
        <v>275</v>
      </c>
      <c r="D7" s="120" t="s">
        <v>219</v>
      </c>
      <c r="E7" s="364" t="s">
        <v>212</v>
      </c>
      <c r="F7" s="73">
        <f>'1. Tas. Nacional'!C17</f>
        <v>1</v>
      </c>
      <c r="G7" s="73">
        <f>'1. Tas. Nacional'!D17</f>
        <v>5</v>
      </c>
      <c r="H7" s="73">
        <f>'1. Tas. Nacional'!E17</f>
        <v>0</v>
      </c>
      <c r="I7" s="73">
        <v>2</v>
      </c>
      <c r="J7" s="73">
        <v>4</v>
      </c>
      <c r="K7" s="73">
        <v>5</v>
      </c>
      <c r="L7" s="73">
        <v>5</v>
      </c>
      <c r="M7" s="73">
        <v>1</v>
      </c>
      <c r="N7" s="73">
        <v>3</v>
      </c>
      <c r="O7" s="73">
        <v>3</v>
      </c>
      <c r="P7" s="73">
        <v>5</v>
      </c>
      <c r="Q7" s="73">
        <f>'1. Tas. Nacional'!$N$17</f>
        <v>0</v>
      </c>
      <c r="R7" s="76">
        <f>SUM(F7:Q7)</f>
        <v>34</v>
      </c>
      <c r="S7" s="360" t="e">
        <f>AVERAGE(F10:Q10)</f>
        <v>#DIV/0!</v>
      </c>
      <c r="T7" s="62"/>
    </row>
    <row r="8" spans="1:20" ht="27.75" customHeight="1">
      <c r="A8" s="55"/>
      <c r="B8" s="368"/>
      <c r="C8" s="363"/>
      <c r="D8" s="120" t="s">
        <v>220</v>
      </c>
      <c r="E8" s="365"/>
      <c r="F8" s="88">
        <f>'1. Tas. Nacional'!C18</f>
        <v>70</v>
      </c>
      <c r="G8" s="77">
        <f>'1. Tas. Nacional'!D18</f>
        <v>73</v>
      </c>
      <c r="H8" s="77">
        <f>'1. Tas. Nacional'!E18</f>
        <v>71</v>
      </c>
      <c r="I8" s="76">
        <v>149</v>
      </c>
      <c r="J8" s="76">
        <v>189</v>
      </c>
      <c r="K8" s="76">
        <v>185</v>
      </c>
      <c r="L8" s="76">
        <v>152</v>
      </c>
      <c r="M8" s="76">
        <v>138</v>
      </c>
      <c r="N8" s="76">
        <v>148</v>
      </c>
      <c r="O8" s="77">
        <v>173</v>
      </c>
      <c r="P8" s="88">
        <v>167</v>
      </c>
      <c r="Q8" s="88">
        <f>'1. Tas. Nacional'!$N$18</f>
        <v>0</v>
      </c>
      <c r="R8" s="77">
        <f>AVERAGE(F8:Q8)</f>
        <v>126.25</v>
      </c>
      <c r="S8" s="360"/>
      <c r="T8" s="62"/>
    </row>
    <row r="9" spans="1:20" ht="15" hidden="1" customHeight="1">
      <c r="A9" s="55"/>
      <c r="B9" s="368"/>
      <c r="C9" s="363"/>
      <c r="D9" s="122"/>
      <c r="E9" s="365"/>
      <c r="F9" s="87"/>
      <c r="G9" s="87"/>
      <c r="H9" s="87"/>
      <c r="I9" s="87"/>
      <c r="J9" s="87"/>
      <c r="K9" s="87"/>
      <c r="L9" s="87"/>
      <c r="M9" s="87"/>
      <c r="N9" s="87"/>
      <c r="O9" s="87"/>
      <c r="P9" s="87"/>
      <c r="Q9" s="87"/>
      <c r="R9" s="77"/>
      <c r="S9" s="360"/>
      <c r="T9" s="62"/>
    </row>
    <row r="10" spans="1:20">
      <c r="A10" s="55"/>
      <c r="B10" s="369"/>
      <c r="C10" s="363"/>
      <c r="D10" s="120" t="s">
        <v>221</v>
      </c>
      <c r="E10" s="366"/>
      <c r="F10" s="118">
        <f>F7/F8*100</f>
        <v>1.4285714285714286</v>
      </c>
      <c r="G10" s="118">
        <f t="shared" ref="G10:Q10" si="0">G7/G8*100</f>
        <v>6.8493150684931505</v>
      </c>
      <c r="H10" s="118">
        <f t="shared" si="0"/>
        <v>0</v>
      </c>
      <c r="I10" s="118">
        <f t="shared" si="0"/>
        <v>1.3422818791946309</v>
      </c>
      <c r="J10" s="118">
        <f t="shared" si="0"/>
        <v>2.1164021164021163</v>
      </c>
      <c r="K10" s="118">
        <f t="shared" si="0"/>
        <v>2.7027027027027026</v>
      </c>
      <c r="L10" s="118">
        <f t="shared" si="0"/>
        <v>3.2894736842105261</v>
      </c>
      <c r="M10" s="118">
        <f t="shared" si="0"/>
        <v>0.72463768115942029</v>
      </c>
      <c r="N10" s="118">
        <f t="shared" si="0"/>
        <v>2.0270270270270272</v>
      </c>
      <c r="O10" s="118">
        <f t="shared" si="0"/>
        <v>1.7341040462427744</v>
      </c>
      <c r="P10" s="118">
        <f t="shared" si="0"/>
        <v>2.9940119760479043</v>
      </c>
      <c r="Q10" s="118" t="e">
        <f t="shared" si="0"/>
        <v>#DIV/0!</v>
      </c>
      <c r="R10" s="118"/>
      <c r="S10" s="360"/>
      <c r="T10" s="62"/>
    </row>
    <row r="11" spans="1:20" ht="32.25" customHeight="1">
      <c r="A11" s="56"/>
      <c r="B11" s="367">
        <v>2</v>
      </c>
      <c r="C11" s="363" t="s">
        <v>228</v>
      </c>
      <c r="D11" s="120" t="s">
        <v>219</v>
      </c>
      <c r="E11" s="364" t="s">
        <v>212</v>
      </c>
      <c r="F11" s="73">
        <f>'2. Tas. Cauca'!C17</f>
        <v>0</v>
      </c>
      <c r="G11" s="73">
        <f>'2. Tas. Cauca'!D17</f>
        <v>0</v>
      </c>
      <c r="H11" s="73">
        <f>'2. Tas. Cauca'!E17</f>
        <v>0</v>
      </c>
      <c r="I11" s="73">
        <f>'2. Tas. Cauca'!F17</f>
        <v>0</v>
      </c>
      <c r="J11" s="73">
        <v>2</v>
      </c>
      <c r="K11" s="73">
        <v>2</v>
      </c>
      <c r="L11" s="73">
        <v>2</v>
      </c>
      <c r="M11" s="73">
        <f>'2. Tas. Cauca'!J17</f>
        <v>0</v>
      </c>
      <c r="N11" s="73">
        <f>'2. Tas. Cauca'!K17</f>
        <v>0</v>
      </c>
      <c r="O11" s="73">
        <v>2</v>
      </c>
      <c r="P11" s="73">
        <v>0</v>
      </c>
      <c r="Q11" s="73">
        <f>'2. Tas. Cauca'!N17</f>
        <v>0</v>
      </c>
      <c r="R11" s="77">
        <f>SUM(F11:Q11)</f>
        <v>8</v>
      </c>
      <c r="S11" s="358" t="e">
        <f>AVERAGE(F14:Q14)</f>
        <v>#DIV/0!</v>
      </c>
      <c r="T11" s="63"/>
    </row>
    <row r="12" spans="1:20" ht="21" customHeight="1">
      <c r="A12" s="56"/>
      <c r="B12" s="368"/>
      <c r="C12" s="363"/>
      <c r="D12" s="120" t="s">
        <v>220</v>
      </c>
      <c r="E12" s="365"/>
      <c r="F12" s="76">
        <f>'2. Tas. Cauca'!C18</f>
        <v>7</v>
      </c>
      <c r="G12" s="76">
        <f>'2. Tas. Cauca'!D18</f>
        <v>15</v>
      </c>
      <c r="H12" s="76">
        <f>'2. Tas. Cauca'!E18</f>
        <v>15</v>
      </c>
      <c r="I12" s="76">
        <v>32</v>
      </c>
      <c r="J12" s="76">
        <v>83</v>
      </c>
      <c r="K12" s="76">
        <v>86</v>
      </c>
      <c r="L12" s="76">
        <v>52</v>
      </c>
      <c r="M12" s="76">
        <v>33</v>
      </c>
      <c r="N12" s="76">
        <v>41</v>
      </c>
      <c r="O12" s="76">
        <v>90</v>
      </c>
      <c r="P12" s="76">
        <v>101</v>
      </c>
      <c r="Q12" s="76">
        <f>'2. Tas. Cauca'!N18</f>
        <v>0</v>
      </c>
      <c r="R12" s="76">
        <f>AVERAGE(F12:Q12)</f>
        <v>46.25</v>
      </c>
      <c r="S12" s="358"/>
      <c r="T12" s="63"/>
    </row>
    <row r="13" spans="1:20" ht="15" hidden="1" customHeight="1">
      <c r="A13" s="56"/>
      <c r="B13" s="368"/>
      <c r="C13" s="363"/>
      <c r="D13" s="122"/>
      <c r="E13" s="365"/>
      <c r="F13" s="87"/>
      <c r="G13" s="87"/>
      <c r="H13" s="87"/>
      <c r="I13" s="87"/>
      <c r="J13" s="87"/>
      <c r="K13" s="87"/>
      <c r="L13" s="87"/>
      <c r="M13" s="87"/>
      <c r="N13" s="87"/>
      <c r="O13" s="87"/>
      <c r="P13" s="87"/>
      <c r="Q13" s="87"/>
      <c r="R13" s="76"/>
      <c r="S13" s="358"/>
      <c r="T13" s="63"/>
    </row>
    <row r="14" spans="1:20" ht="18.75" customHeight="1">
      <c r="A14" s="56"/>
      <c r="B14" s="369"/>
      <c r="C14" s="363"/>
      <c r="D14" s="120" t="s">
        <v>221</v>
      </c>
      <c r="E14" s="366"/>
      <c r="F14" s="119">
        <f>F11/F12*100</f>
        <v>0</v>
      </c>
      <c r="G14" s="119">
        <f t="shared" ref="G14:Q14" si="1">G11/G12*100</f>
        <v>0</v>
      </c>
      <c r="H14" s="119">
        <f t="shared" si="1"/>
        <v>0</v>
      </c>
      <c r="I14" s="119">
        <f t="shared" si="1"/>
        <v>0</v>
      </c>
      <c r="J14" s="119">
        <f t="shared" si="1"/>
        <v>2.4096385542168677</v>
      </c>
      <c r="K14" s="119">
        <f t="shared" si="1"/>
        <v>2.3255813953488373</v>
      </c>
      <c r="L14" s="119">
        <f t="shared" si="1"/>
        <v>3.8461538461538463</v>
      </c>
      <c r="M14" s="119">
        <f t="shared" si="1"/>
        <v>0</v>
      </c>
      <c r="N14" s="119">
        <f t="shared" si="1"/>
        <v>0</v>
      </c>
      <c r="O14" s="119">
        <f t="shared" si="1"/>
        <v>2.2222222222222223</v>
      </c>
      <c r="P14" s="119">
        <f t="shared" si="1"/>
        <v>0</v>
      </c>
      <c r="Q14" s="119" t="e">
        <f t="shared" si="1"/>
        <v>#DIV/0!</v>
      </c>
      <c r="R14" s="76"/>
      <c r="S14" s="358"/>
      <c r="T14" s="63"/>
    </row>
    <row r="15" spans="1:20" ht="51.75" customHeight="1">
      <c r="A15" s="55"/>
      <c r="B15" s="367">
        <v>3</v>
      </c>
      <c r="C15" s="363" t="s">
        <v>229</v>
      </c>
      <c r="D15" s="120" t="s">
        <v>219</v>
      </c>
      <c r="E15" s="364" t="s">
        <v>212</v>
      </c>
      <c r="F15" s="73">
        <f>'3. Tas. Santander'!C17</f>
        <v>1</v>
      </c>
      <c r="G15" s="73">
        <f>'3. Tas. Santander'!D17</f>
        <v>5</v>
      </c>
      <c r="H15" s="73">
        <f>'3. Tas. Santander'!E17</f>
        <v>0</v>
      </c>
      <c r="I15" s="73">
        <v>2</v>
      </c>
      <c r="J15" s="73">
        <v>2</v>
      </c>
      <c r="K15" s="73">
        <v>3</v>
      </c>
      <c r="L15" s="73">
        <v>3</v>
      </c>
      <c r="M15" s="73">
        <v>1</v>
      </c>
      <c r="N15" s="73">
        <v>3</v>
      </c>
      <c r="O15" s="73">
        <v>1</v>
      </c>
      <c r="P15" s="73">
        <v>5</v>
      </c>
      <c r="Q15" s="73">
        <f>'3. Tas. Santander'!N17</f>
        <v>0</v>
      </c>
      <c r="R15" s="76">
        <f>SUM(F15:Q15)</f>
        <v>26</v>
      </c>
      <c r="S15" s="359" t="e">
        <f>AVERAGE(F18:Q18)</f>
        <v>#DIV/0!</v>
      </c>
      <c r="T15" s="62"/>
    </row>
    <row r="16" spans="1:20" ht="30.75" customHeight="1">
      <c r="A16" s="55"/>
      <c r="B16" s="368"/>
      <c r="C16" s="363"/>
      <c r="D16" s="120" t="s">
        <v>220</v>
      </c>
      <c r="E16" s="365"/>
      <c r="F16" s="76">
        <f>'3. Tas. Santander'!C18</f>
        <v>57</v>
      </c>
      <c r="G16" s="76">
        <f>'3. Tas. Santander'!D18</f>
        <v>51</v>
      </c>
      <c r="H16" s="76">
        <f>'3. Tas. Santander'!E18</f>
        <v>48</v>
      </c>
      <c r="I16" s="76">
        <v>113</v>
      </c>
      <c r="J16" s="76">
        <v>102</v>
      </c>
      <c r="K16" s="76">
        <v>94</v>
      </c>
      <c r="L16" s="76">
        <v>92</v>
      </c>
      <c r="M16" s="76">
        <v>94</v>
      </c>
      <c r="N16" s="76">
        <v>99</v>
      </c>
      <c r="O16" s="76">
        <v>76</v>
      </c>
      <c r="P16" s="76">
        <v>59</v>
      </c>
      <c r="Q16" s="76">
        <f>'3. Tas. Santander'!N18</f>
        <v>0</v>
      </c>
      <c r="R16" s="76">
        <f>AVERAGE(F16:Q16)</f>
        <v>73.75</v>
      </c>
      <c r="S16" s="359"/>
      <c r="T16" s="62"/>
    </row>
    <row r="17" spans="1:20" ht="5.25" hidden="1" customHeight="1">
      <c r="A17" s="55"/>
      <c r="B17" s="368"/>
      <c r="C17" s="363"/>
      <c r="D17" s="122"/>
      <c r="E17" s="365"/>
      <c r="F17" s="126"/>
      <c r="G17" s="126"/>
      <c r="H17" s="126"/>
      <c r="I17" s="126"/>
      <c r="J17" s="126"/>
      <c r="K17" s="126"/>
      <c r="L17" s="126"/>
      <c r="M17" s="126"/>
      <c r="N17" s="126"/>
      <c r="O17" s="126"/>
      <c r="P17" s="126"/>
      <c r="Q17" s="126"/>
      <c r="R17" s="131"/>
      <c r="S17" s="359"/>
      <c r="T17" s="62"/>
    </row>
    <row r="18" spans="1:20">
      <c r="A18" s="55"/>
      <c r="B18" s="369"/>
      <c r="C18" s="363"/>
      <c r="D18" s="120" t="s">
        <v>221</v>
      </c>
      <c r="E18" s="366"/>
      <c r="F18" s="119">
        <f>F15/F16*100</f>
        <v>1.7543859649122806</v>
      </c>
      <c r="G18" s="119">
        <f t="shared" ref="G18:Q18" si="2">G15/G16*100</f>
        <v>9.8039215686274517</v>
      </c>
      <c r="H18" s="119">
        <f t="shared" si="2"/>
        <v>0</v>
      </c>
      <c r="I18" s="119">
        <f t="shared" si="2"/>
        <v>1.7699115044247788</v>
      </c>
      <c r="J18" s="119">
        <f t="shared" si="2"/>
        <v>1.9607843137254901</v>
      </c>
      <c r="K18" s="119">
        <f t="shared" si="2"/>
        <v>3.1914893617021276</v>
      </c>
      <c r="L18" s="119">
        <f t="shared" si="2"/>
        <v>3.2608695652173911</v>
      </c>
      <c r="M18" s="119">
        <f t="shared" si="2"/>
        <v>1.0638297872340425</v>
      </c>
      <c r="N18" s="119">
        <f t="shared" si="2"/>
        <v>3.0303030303030303</v>
      </c>
      <c r="O18" s="119">
        <f t="shared" si="2"/>
        <v>1.3157894736842104</v>
      </c>
      <c r="P18" s="119">
        <f t="shared" si="2"/>
        <v>8.4745762711864394</v>
      </c>
      <c r="Q18" s="119" t="e">
        <f t="shared" si="2"/>
        <v>#DIV/0!</v>
      </c>
      <c r="R18" s="131"/>
      <c r="S18" s="359"/>
      <c r="T18" s="62"/>
    </row>
    <row r="19" spans="1:20" ht="43.5" customHeight="1">
      <c r="A19" s="55"/>
      <c r="B19" s="367">
        <v>4</v>
      </c>
      <c r="C19" s="363" t="s">
        <v>224</v>
      </c>
      <c r="D19" s="120" t="s">
        <v>225</v>
      </c>
      <c r="E19" s="381" t="s">
        <v>212</v>
      </c>
      <c r="F19" s="79" t="e">
        <f>'4. Sev. Nacional'!#REF!</f>
        <v>#REF!</v>
      </c>
      <c r="G19" s="79" t="e">
        <f>'4. Sev. Nacional'!#REF!</f>
        <v>#REF!</v>
      </c>
      <c r="H19" s="79">
        <v>13</v>
      </c>
      <c r="I19" s="79">
        <v>9</v>
      </c>
      <c r="J19" s="79">
        <v>15</v>
      </c>
      <c r="K19" s="79">
        <v>28</v>
      </c>
      <c r="L19" s="79">
        <v>71</v>
      </c>
      <c r="M19" s="79">
        <v>4</v>
      </c>
      <c r="N19" s="79">
        <v>2</v>
      </c>
      <c r="O19" s="79">
        <v>16</v>
      </c>
      <c r="P19" s="79">
        <v>10</v>
      </c>
      <c r="Q19" s="79" t="e">
        <f>'4. Sev. Nacional'!#REF!</f>
        <v>#REF!</v>
      </c>
      <c r="R19" s="133"/>
      <c r="S19" s="358"/>
      <c r="T19" s="62"/>
    </row>
    <row r="20" spans="1:20" ht="24.75" customHeight="1">
      <c r="A20" s="55"/>
      <c r="B20" s="368"/>
      <c r="C20" s="363"/>
      <c r="D20" s="120" t="s">
        <v>220</v>
      </c>
      <c r="E20" s="382"/>
      <c r="F20" s="127">
        <f>'4. Sev. Nacional'!C18</f>
        <v>70</v>
      </c>
      <c r="G20" s="127">
        <f>'4. Sev. Nacional'!D18</f>
        <v>51</v>
      </c>
      <c r="H20" s="127">
        <f>'4. Sev. Nacional'!E18</f>
        <v>71</v>
      </c>
      <c r="I20" s="127">
        <v>149</v>
      </c>
      <c r="J20" s="127">
        <v>189</v>
      </c>
      <c r="K20" s="127">
        <v>185</v>
      </c>
      <c r="L20" s="127">
        <v>152</v>
      </c>
      <c r="M20" s="127">
        <v>138</v>
      </c>
      <c r="N20" s="127">
        <v>148</v>
      </c>
      <c r="O20" s="127">
        <f>'4. Sev. Nacional'!L18</f>
        <v>0</v>
      </c>
      <c r="P20" s="127">
        <v>167</v>
      </c>
      <c r="Q20" s="127">
        <f>'4. Sev. Nacional'!N18</f>
        <v>0</v>
      </c>
      <c r="R20" s="80"/>
      <c r="S20" s="358"/>
      <c r="T20" s="62"/>
    </row>
    <row r="21" spans="1:20">
      <c r="A21" s="55"/>
      <c r="B21" s="369"/>
      <c r="C21" s="363"/>
      <c r="D21" s="120" t="s">
        <v>221</v>
      </c>
      <c r="E21" s="383"/>
      <c r="F21" s="128" t="e">
        <f>F19/F20*100</f>
        <v>#REF!</v>
      </c>
      <c r="G21" s="128" t="e">
        <f t="shared" ref="G21:Q21" si="3">G19/G20*100</f>
        <v>#REF!</v>
      </c>
      <c r="H21" s="128">
        <f t="shared" si="3"/>
        <v>18.30985915492958</v>
      </c>
      <c r="I21" s="128">
        <f t="shared" si="3"/>
        <v>6.0402684563758395</v>
      </c>
      <c r="J21" s="128">
        <f t="shared" si="3"/>
        <v>7.9365079365079358</v>
      </c>
      <c r="K21" s="128">
        <f t="shared" si="3"/>
        <v>15.135135135135137</v>
      </c>
      <c r="L21" s="128">
        <f t="shared" si="3"/>
        <v>46.710526315789473</v>
      </c>
      <c r="M21" s="128">
        <f t="shared" si="3"/>
        <v>2.8985507246376812</v>
      </c>
      <c r="N21" s="128">
        <f t="shared" si="3"/>
        <v>1.3513513513513513</v>
      </c>
      <c r="O21" s="128" t="e">
        <f t="shared" si="3"/>
        <v>#DIV/0!</v>
      </c>
      <c r="P21" s="128">
        <f t="shared" si="3"/>
        <v>5.9880239520958085</v>
      </c>
      <c r="Q21" s="128" t="e">
        <f t="shared" si="3"/>
        <v>#REF!</v>
      </c>
      <c r="R21" s="81"/>
      <c r="S21" s="358"/>
      <c r="T21" s="62"/>
    </row>
    <row r="22" spans="1:20" ht="26.25" customHeight="1">
      <c r="A22" s="55"/>
      <c r="B22" s="367">
        <v>5</v>
      </c>
      <c r="C22" s="363" t="s">
        <v>230</v>
      </c>
      <c r="D22" s="120" t="s">
        <v>225</v>
      </c>
      <c r="E22" s="379" t="s">
        <v>212</v>
      </c>
      <c r="F22" s="73">
        <f>'5. Sev. Cauca'!C17</f>
        <v>0</v>
      </c>
      <c r="G22" s="73">
        <f>'5. Sev. Cauca'!D17</f>
        <v>0</v>
      </c>
      <c r="H22" s="73">
        <f>'5. Sev. Cauca'!E17</f>
        <v>0</v>
      </c>
      <c r="I22" s="73">
        <f>'5. Sev. Cauca'!F17</f>
        <v>0</v>
      </c>
      <c r="J22" s="73">
        <v>15</v>
      </c>
      <c r="K22" s="73">
        <v>4</v>
      </c>
      <c r="L22" s="73">
        <v>35</v>
      </c>
      <c r="M22" s="73">
        <f>'5. Sev. Cauca'!J17</f>
        <v>0</v>
      </c>
      <c r="N22" s="73">
        <f>'5. Sev. Cauca'!K17</f>
        <v>0</v>
      </c>
      <c r="O22" s="73">
        <v>11</v>
      </c>
      <c r="P22" s="73">
        <f>'5. Sev. Cauca'!M17</f>
        <v>0</v>
      </c>
      <c r="Q22" s="73">
        <f>'5. Sev. Cauca'!N17</f>
        <v>0</v>
      </c>
      <c r="R22" s="76"/>
      <c r="S22" s="358"/>
      <c r="T22" s="62"/>
    </row>
    <row r="23" spans="1:20" ht="21" customHeight="1">
      <c r="A23" s="55"/>
      <c r="B23" s="368"/>
      <c r="C23" s="363"/>
      <c r="D23" s="120" t="s">
        <v>220</v>
      </c>
      <c r="E23" s="384"/>
      <c r="F23" s="76">
        <f>'5. Sev. Cauca'!C18</f>
        <v>7</v>
      </c>
      <c r="G23" s="76">
        <f>'5. Sev. Cauca'!D18</f>
        <v>15</v>
      </c>
      <c r="H23" s="76">
        <f>'5. Sev. Cauca'!E18</f>
        <v>15</v>
      </c>
      <c r="I23" s="76">
        <v>32</v>
      </c>
      <c r="J23" s="76">
        <v>83</v>
      </c>
      <c r="K23" s="76">
        <v>86</v>
      </c>
      <c r="L23" s="76">
        <v>52</v>
      </c>
      <c r="M23" s="76">
        <v>33</v>
      </c>
      <c r="N23" s="76">
        <v>41</v>
      </c>
      <c r="O23" s="76">
        <f>'5. Sev. Cauca'!L18</f>
        <v>0</v>
      </c>
      <c r="P23" s="76">
        <v>101</v>
      </c>
      <c r="Q23" s="76">
        <f>'5. Sev. Cauca'!N18</f>
        <v>0</v>
      </c>
      <c r="R23" s="76"/>
      <c r="S23" s="358"/>
      <c r="T23" s="62"/>
    </row>
    <row r="24" spans="1:20" ht="19.5" hidden="1" customHeight="1">
      <c r="A24" s="55"/>
      <c r="B24" s="368"/>
      <c r="C24" s="363"/>
      <c r="D24" s="120"/>
      <c r="E24" s="384"/>
      <c r="F24" s="86"/>
      <c r="G24" s="86"/>
      <c r="H24" s="86"/>
      <c r="I24" s="86"/>
      <c r="J24" s="86"/>
      <c r="K24" s="86"/>
      <c r="L24" s="86"/>
      <c r="M24" s="86"/>
      <c r="N24" s="86"/>
      <c r="O24" s="86"/>
      <c r="P24" s="86"/>
      <c r="Q24" s="86"/>
      <c r="R24" s="76"/>
      <c r="S24" s="358"/>
      <c r="T24" s="62"/>
    </row>
    <row r="25" spans="1:20" ht="18.75" customHeight="1">
      <c r="A25" s="55"/>
      <c r="B25" s="369"/>
      <c r="C25" s="363"/>
      <c r="D25" s="120" t="s">
        <v>221</v>
      </c>
      <c r="E25" s="380"/>
      <c r="F25" s="119">
        <f>F22/F23*100</f>
        <v>0</v>
      </c>
      <c r="G25" s="119">
        <f t="shared" ref="G25:Q25" si="4">G22/G23*100</f>
        <v>0</v>
      </c>
      <c r="H25" s="119">
        <f t="shared" si="4"/>
        <v>0</v>
      </c>
      <c r="I25" s="119">
        <f t="shared" si="4"/>
        <v>0</v>
      </c>
      <c r="J25" s="119">
        <f t="shared" si="4"/>
        <v>18.072289156626507</v>
      </c>
      <c r="K25" s="119">
        <f t="shared" si="4"/>
        <v>4.6511627906976747</v>
      </c>
      <c r="L25" s="119">
        <f t="shared" si="4"/>
        <v>67.307692307692307</v>
      </c>
      <c r="M25" s="119">
        <f t="shared" si="4"/>
        <v>0</v>
      </c>
      <c r="N25" s="119">
        <f t="shared" si="4"/>
        <v>0</v>
      </c>
      <c r="O25" s="119" t="e">
        <f t="shared" si="4"/>
        <v>#DIV/0!</v>
      </c>
      <c r="P25" s="119">
        <f t="shared" si="4"/>
        <v>0</v>
      </c>
      <c r="Q25" s="119" t="e">
        <f t="shared" si="4"/>
        <v>#DIV/0!</v>
      </c>
      <c r="R25" s="76"/>
      <c r="S25" s="358"/>
      <c r="T25" s="62"/>
    </row>
    <row r="26" spans="1:20" ht="27.75" customHeight="1">
      <c r="A26" s="55"/>
      <c r="B26" s="367">
        <v>6</v>
      </c>
      <c r="C26" s="373" t="s">
        <v>231</v>
      </c>
      <c r="D26" s="120" t="s">
        <v>225</v>
      </c>
      <c r="E26" s="377" t="s">
        <v>212</v>
      </c>
      <c r="F26" s="130">
        <f>'6. Sev. Santander'!C17</f>
        <v>3</v>
      </c>
      <c r="G26" s="130">
        <f>'6. Sev. Santander'!D17</f>
        <v>41</v>
      </c>
      <c r="H26" s="130">
        <f>'6. Sev. Santander'!E17</f>
        <v>0</v>
      </c>
      <c r="I26" s="130">
        <v>9</v>
      </c>
      <c r="J26" s="73">
        <v>0</v>
      </c>
      <c r="K26" s="73">
        <v>39</v>
      </c>
      <c r="L26" s="73">
        <v>36</v>
      </c>
      <c r="M26" s="130">
        <v>4</v>
      </c>
      <c r="N26" s="130">
        <v>2</v>
      </c>
      <c r="O26" s="130">
        <v>5</v>
      </c>
      <c r="P26" s="130">
        <v>10</v>
      </c>
      <c r="Q26" s="130">
        <f>'6. Sev. Santander'!N17</f>
        <v>0</v>
      </c>
      <c r="R26" s="76"/>
      <c r="S26" s="370"/>
      <c r="T26" s="62"/>
    </row>
    <row r="27" spans="1:20" ht="24" customHeight="1">
      <c r="A27" s="55"/>
      <c r="B27" s="368"/>
      <c r="C27" s="374"/>
      <c r="D27" s="120" t="s">
        <v>220</v>
      </c>
      <c r="E27" s="385"/>
      <c r="F27" s="131">
        <f>'6. Sev. Santander'!C18</f>
        <v>57</v>
      </c>
      <c r="G27" s="131">
        <f>'6. Sev. Santander'!D18</f>
        <v>51</v>
      </c>
      <c r="H27" s="131">
        <f>'6. Sev. Santander'!E18</f>
        <v>48</v>
      </c>
      <c r="I27" s="131">
        <v>113</v>
      </c>
      <c r="J27" s="76">
        <v>102</v>
      </c>
      <c r="K27" s="76">
        <v>94</v>
      </c>
      <c r="L27" s="76">
        <v>92</v>
      </c>
      <c r="M27" s="131">
        <v>94</v>
      </c>
      <c r="N27" s="131">
        <v>99</v>
      </c>
      <c r="O27" s="131">
        <v>76</v>
      </c>
      <c r="P27" s="131">
        <v>59</v>
      </c>
      <c r="Q27" s="131">
        <f>'6. Sev. Santander'!N18</f>
        <v>0</v>
      </c>
      <c r="R27" s="76"/>
      <c r="S27" s="371"/>
      <c r="T27" s="62"/>
    </row>
    <row r="28" spans="1:20" ht="21" customHeight="1">
      <c r="A28" s="55"/>
      <c r="B28" s="369"/>
      <c r="C28" s="375"/>
      <c r="D28" s="120" t="s">
        <v>221</v>
      </c>
      <c r="E28" s="378"/>
      <c r="F28" s="132">
        <f>F26/F27*100</f>
        <v>5.2631578947368416</v>
      </c>
      <c r="G28" s="132">
        <f t="shared" ref="G28:Q28" si="5">G26/G27*100</f>
        <v>80.392156862745097</v>
      </c>
      <c r="H28" s="132">
        <f t="shared" si="5"/>
        <v>0</v>
      </c>
      <c r="I28" s="132">
        <f t="shared" si="5"/>
        <v>7.9646017699115044</v>
      </c>
      <c r="J28" s="119">
        <f t="shared" si="5"/>
        <v>0</v>
      </c>
      <c r="K28" s="119">
        <f t="shared" si="5"/>
        <v>41.48936170212766</v>
      </c>
      <c r="L28" s="119">
        <f t="shared" si="5"/>
        <v>39.130434782608695</v>
      </c>
      <c r="M28" s="132">
        <f t="shared" si="5"/>
        <v>4.2553191489361701</v>
      </c>
      <c r="N28" s="132">
        <f t="shared" si="5"/>
        <v>2.0202020202020203</v>
      </c>
      <c r="O28" s="132">
        <f t="shared" si="5"/>
        <v>6.5789473684210522</v>
      </c>
      <c r="P28" s="132">
        <f t="shared" si="5"/>
        <v>16.949152542372879</v>
      </c>
      <c r="Q28" s="132" t="e">
        <f t="shared" si="5"/>
        <v>#DIV/0!</v>
      </c>
      <c r="R28" s="76"/>
      <c r="S28" s="372"/>
      <c r="T28" s="62"/>
    </row>
    <row r="29" spans="1:20" ht="32.25" customHeight="1">
      <c r="A29" s="55"/>
      <c r="B29" s="367">
        <v>7</v>
      </c>
      <c r="C29" s="373" t="s">
        <v>226</v>
      </c>
      <c r="D29" s="120" t="s">
        <v>232</v>
      </c>
      <c r="E29" s="377">
        <v>1</v>
      </c>
      <c r="F29" s="73">
        <f>'7. Inves. AT'!C18</f>
        <v>1</v>
      </c>
      <c r="G29" s="73">
        <f>'7. Inves. AT'!D18</f>
        <v>5</v>
      </c>
      <c r="H29" s="73">
        <v>4</v>
      </c>
      <c r="I29" s="73">
        <v>2</v>
      </c>
      <c r="J29" s="73">
        <v>4</v>
      </c>
      <c r="K29" s="73">
        <v>5</v>
      </c>
      <c r="L29" s="73">
        <v>5</v>
      </c>
      <c r="M29" s="73">
        <v>1</v>
      </c>
      <c r="N29" s="73">
        <v>3</v>
      </c>
      <c r="O29" s="73">
        <v>2</v>
      </c>
      <c r="P29" s="73">
        <v>5</v>
      </c>
      <c r="Q29" s="73">
        <f>'7. Inves. AT'!N18</f>
        <v>0</v>
      </c>
      <c r="R29" s="76"/>
      <c r="S29" s="370"/>
      <c r="T29" s="62"/>
    </row>
    <row r="30" spans="1:20" ht="27" customHeight="1">
      <c r="A30" s="55"/>
      <c r="B30" s="368"/>
      <c r="C30" s="374"/>
      <c r="D30" s="120" t="s">
        <v>227</v>
      </c>
      <c r="E30" s="385"/>
      <c r="F30" s="74">
        <f>'7. Inves. AT'!C17</f>
        <v>1</v>
      </c>
      <c r="G30" s="74">
        <f>'7. Inves. AT'!D17</f>
        <v>5</v>
      </c>
      <c r="H30" s="74">
        <v>4</v>
      </c>
      <c r="I30" s="74">
        <v>2</v>
      </c>
      <c r="J30" s="74">
        <v>4</v>
      </c>
      <c r="K30" s="74">
        <v>5</v>
      </c>
      <c r="L30" s="74">
        <v>5</v>
      </c>
      <c r="M30" s="74">
        <v>1</v>
      </c>
      <c r="N30" s="74">
        <v>3</v>
      </c>
      <c r="O30" s="74">
        <v>2</v>
      </c>
      <c r="P30" s="74">
        <v>5</v>
      </c>
      <c r="Q30" s="74">
        <f>'7. Inves. AT'!N17</f>
        <v>0</v>
      </c>
      <c r="R30" s="76"/>
      <c r="S30" s="371"/>
      <c r="T30" s="62"/>
    </row>
    <row r="31" spans="1:20" ht="20.25" customHeight="1">
      <c r="A31" s="55"/>
      <c r="B31" s="368"/>
      <c r="C31" s="374"/>
      <c r="D31" s="120" t="s">
        <v>221</v>
      </c>
      <c r="E31" s="385"/>
      <c r="F31" s="74">
        <f>F29/F30*100</f>
        <v>100</v>
      </c>
      <c r="G31" s="74">
        <f t="shared" ref="G31:Q31" si="6">G29/G30*100</f>
        <v>100</v>
      </c>
      <c r="H31" s="74">
        <f t="shared" si="6"/>
        <v>100</v>
      </c>
      <c r="I31" s="74">
        <f t="shared" si="6"/>
        <v>100</v>
      </c>
      <c r="J31" s="74">
        <f t="shared" si="6"/>
        <v>100</v>
      </c>
      <c r="K31" s="74">
        <f t="shared" si="6"/>
        <v>100</v>
      </c>
      <c r="L31" s="74">
        <f t="shared" si="6"/>
        <v>100</v>
      </c>
      <c r="M31" s="74">
        <f t="shared" si="6"/>
        <v>100</v>
      </c>
      <c r="N31" s="74">
        <f t="shared" si="6"/>
        <v>100</v>
      </c>
      <c r="O31" s="74">
        <f t="shared" si="6"/>
        <v>100</v>
      </c>
      <c r="P31" s="74">
        <f t="shared" si="6"/>
        <v>100</v>
      </c>
      <c r="Q31" s="74" t="e">
        <f t="shared" si="6"/>
        <v>#DIV/0!</v>
      </c>
      <c r="R31" s="76"/>
      <c r="S31" s="371"/>
      <c r="T31" s="62"/>
    </row>
    <row r="32" spans="1:20" ht="22.5" customHeight="1">
      <c r="A32" s="55"/>
      <c r="B32" s="369"/>
      <c r="C32" s="375"/>
      <c r="D32" s="129" t="s">
        <v>26</v>
      </c>
      <c r="E32" s="378"/>
      <c r="F32" s="75">
        <v>1</v>
      </c>
      <c r="G32" s="75">
        <v>1</v>
      </c>
      <c r="H32" s="75">
        <v>1</v>
      </c>
      <c r="I32" s="75">
        <v>1</v>
      </c>
      <c r="J32" s="75">
        <v>1</v>
      </c>
      <c r="K32" s="75">
        <v>1</v>
      </c>
      <c r="L32" s="75">
        <v>1</v>
      </c>
      <c r="M32" s="75">
        <v>1</v>
      </c>
      <c r="N32" s="75">
        <v>1</v>
      </c>
      <c r="O32" s="75">
        <v>1</v>
      </c>
      <c r="P32" s="75">
        <v>1</v>
      </c>
      <c r="Q32" s="75">
        <v>1</v>
      </c>
      <c r="R32" s="76"/>
      <c r="S32" s="372"/>
      <c r="T32" s="62"/>
    </row>
    <row r="33" spans="1:20" ht="29.25" customHeight="1">
      <c r="A33" s="55"/>
      <c r="B33" s="367">
        <v>8</v>
      </c>
      <c r="C33" s="373" t="s">
        <v>233</v>
      </c>
      <c r="D33" s="120" t="s">
        <v>234</v>
      </c>
      <c r="E33" s="377">
        <v>1</v>
      </c>
      <c r="F33" s="73">
        <f>'13. Ejecu. PA'!C17</f>
        <v>1</v>
      </c>
      <c r="G33" s="73">
        <f>'13. Ejecu. PA'!D17</f>
        <v>0</v>
      </c>
      <c r="H33" s="73">
        <f>'13. Ejecu. PA'!E17</f>
        <v>0</v>
      </c>
      <c r="I33" s="73">
        <v>1</v>
      </c>
      <c r="J33" s="73">
        <v>1</v>
      </c>
      <c r="K33" s="73">
        <f>'13. Ejecu. PA'!H17</f>
        <v>0</v>
      </c>
      <c r="L33" s="73">
        <v>13</v>
      </c>
      <c r="M33" s="73">
        <v>2</v>
      </c>
      <c r="N33" s="73">
        <v>7</v>
      </c>
      <c r="O33" s="73">
        <v>4</v>
      </c>
      <c r="P33" s="73">
        <v>0</v>
      </c>
      <c r="Q33" s="73">
        <f>'13. Ejecu. PA'!N17</f>
        <v>0</v>
      </c>
      <c r="R33" s="76"/>
      <c r="S33" s="370"/>
      <c r="T33" s="62"/>
    </row>
    <row r="34" spans="1:20" ht="30" customHeight="1">
      <c r="A34" s="55"/>
      <c r="B34" s="368"/>
      <c r="C34" s="374"/>
      <c r="D34" s="120" t="s">
        <v>235</v>
      </c>
      <c r="E34" s="385"/>
      <c r="F34" s="74">
        <f>'13. Ejecu. PA'!C18</f>
        <v>0</v>
      </c>
      <c r="G34" s="74">
        <f>'13. Ejecu. PA'!D18</f>
        <v>0</v>
      </c>
      <c r="H34" s="74">
        <f>'13. Ejecu. PA'!E18</f>
        <v>0</v>
      </c>
      <c r="I34" s="74">
        <v>2</v>
      </c>
      <c r="J34" s="74">
        <v>4</v>
      </c>
      <c r="K34" s="74">
        <v>5</v>
      </c>
      <c r="L34" s="74">
        <f>'13. Ejecu. PA'!I18</f>
        <v>0</v>
      </c>
      <c r="M34" s="74">
        <v>2</v>
      </c>
      <c r="N34" s="74">
        <v>7</v>
      </c>
      <c r="O34" s="74">
        <v>4</v>
      </c>
      <c r="P34" s="74">
        <v>10</v>
      </c>
      <c r="Q34" s="74">
        <f>'13. Ejecu. PA'!N18</f>
        <v>0</v>
      </c>
      <c r="R34" s="76"/>
      <c r="S34" s="371"/>
      <c r="T34" s="62"/>
    </row>
    <row r="35" spans="1:20" ht="30" customHeight="1">
      <c r="A35" s="55"/>
      <c r="B35" s="368"/>
      <c r="C35" s="374"/>
      <c r="D35" s="120" t="s">
        <v>221</v>
      </c>
      <c r="E35" s="385"/>
      <c r="F35" s="87" t="e">
        <f>F33/F34*100</f>
        <v>#DIV/0!</v>
      </c>
      <c r="G35" s="87" t="e">
        <f t="shared" ref="G35:Q35" si="7">G33/G34*100</f>
        <v>#DIV/0!</v>
      </c>
      <c r="H35" s="87" t="e">
        <f t="shared" si="7"/>
        <v>#DIV/0!</v>
      </c>
      <c r="I35" s="87">
        <f t="shared" si="7"/>
        <v>50</v>
      </c>
      <c r="J35" s="87">
        <f t="shared" si="7"/>
        <v>25</v>
      </c>
      <c r="K35" s="87">
        <f t="shared" si="7"/>
        <v>0</v>
      </c>
      <c r="L35" s="87" t="e">
        <f t="shared" si="7"/>
        <v>#DIV/0!</v>
      </c>
      <c r="M35" s="87">
        <f t="shared" si="7"/>
        <v>100</v>
      </c>
      <c r="N35" s="87">
        <f t="shared" si="7"/>
        <v>100</v>
      </c>
      <c r="O35" s="87">
        <f t="shared" si="7"/>
        <v>100</v>
      </c>
      <c r="P35" s="87">
        <f t="shared" si="7"/>
        <v>0</v>
      </c>
      <c r="Q35" s="87" t="e">
        <f t="shared" si="7"/>
        <v>#DIV/0!</v>
      </c>
      <c r="R35" s="76"/>
      <c r="S35" s="371"/>
      <c r="T35" s="62"/>
    </row>
    <row r="36" spans="1:20" ht="27" customHeight="1">
      <c r="A36" s="55"/>
      <c r="B36" s="369"/>
      <c r="C36" s="375"/>
      <c r="D36" s="129" t="s">
        <v>26</v>
      </c>
      <c r="E36" s="378"/>
      <c r="F36" s="75">
        <v>1</v>
      </c>
      <c r="G36" s="75">
        <v>1</v>
      </c>
      <c r="H36" s="75">
        <v>1</v>
      </c>
      <c r="I36" s="75">
        <v>1</v>
      </c>
      <c r="J36" s="75">
        <v>1</v>
      </c>
      <c r="K36" s="75">
        <v>1</v>
      </c>
      <c r="L36" s="75">
        <v>1</v>
      </c>
      <c r="M36" s="75">
        <v>1</v>
      </c>
      <c r="N36" s="75">
        <v>1</v>
      </c>
      <c r="O36" s="75">
        <v>1</v>
      </c>
      <c r="P36" s="75">
        <v>1</v>
      </c>
      <c r="Q36" s="75">
        <v>1</v>
      </c>
      <c r="R36" s="76"/>
      <c r="S36" s="372"/>
      <c r="T36" s="62"/>
    </row>
    <row r="37" spans="1:20" ht="24.75" customHeight="1">
      <c r="A37" s="55"/>
      <c r="B37" s="367">
        <v>9</v>
      </c>
      <c r="C37" s="376" t="s">
        <v>236</v>
      </c>
      <c r="D37" s="68">
        <v>2024</v>
      </c>
      <c r="E37" s="377" t="s">
        <v>212</v>
      </c>
      <c r="F37" s="73">
        <f>'0. Activos'!C17</f>
        <v>70</v>
      </c>
      <c r="G37" s="73">
        <f>'0. Activos'!D17</f>
        <v>73</v>
      </c>
      <c r="H37" s="73">
        <f>'0. Activos'!E17</f>
        <v>71</v>
      </c>
      <c r="I37" s="73">
        <f>'0. Activos'!F17</f>
        <v>81</v>
      </c>
      <c r="J37" s="73">
        <v>189</v>
      </c>
      <c r="K37" s="73">
        <f>'0. Activos'!H17</f>
        <v>80</v>
      </c>
      <c r="L37" s="73">
        <v>191</v>
      </c>
      <c r="M37" s="73">
        <f>'0. Activos'!J17</f>
        <v>99</v>
      </c>
      <c r="N37" s="73">
        <v>148</v>
      </c>
      <c r="O37" s="73">
        <f>'0. Activos'!L17</f>
        <v>0</v>
      </c>
      <c r="P37" s="73">
        <f>'0. Activos'!M17</f>
        <v>0</v>
      </c>
      <c r="Q37" s="73">
        <f>'0. Activos'!N17</f>
        <v>0</v>
      </c>
      <c r="R37" s="76"/>
      <c r="S37" s="358"/>
      <c r="T37" s="62"/>
    </row>
    <row r="38" spans="1:20" ht="21.75" customHeight="1">
      <c r="A38" s="55"/>
      <c r="B38" s="368"/>
      <c r="C38" s="376"/>
      <c r="D38" s="68">
        <v>2025</v>
      </c>
      <c r="E38" s="378"/>
      <c r="F38" s="74">
        <f>'0. Activos'!C18</f>
        <v>162</v>
      </c>
      <c r="G38" s="74">
        <f>'0. Activos'!D18</f>
        <v>116</v>
      </c>
      <c r="H38" s="74">
        <f>'0. Activos'!E18</f>
        <v>103</v>
      </c>
      <c r="I38" s="74">
        <f>'0. Activos'!F18</f>
        <v>120</v>
      </c>
      <c r="J38" s="74">
        <v>180</v>
      </c>
      <c r="K38" s="74">
        <f>'0. Activos'!H18</f>
        <v>175</v>
      </c>
      <c r="L38" s="74">
        <f>'0. Activos'!I18</f>
        <v>191</v>
      </c>
      <c r="M38" s="74">
        <f>'0. Activos'!J18</f>
        <v>194</v>
      </c>
      <c r="N38" s="74">
        <v>237</v>
      </c>
      <c r="O38" s="74">
        <f>'0. Activos'!L18</f>
        <v>215</v>
      </c>
      <c r="P38" s="74">
        <f>'0. Activos'!M18</f>
        <v>242</v>
      </c>
      <c r="Q38" s="74">
        <f>'0. Activos'!N18</f>
        <v>287</v>
      </c>
      <c r="R38" s="76"/>
      <c r="S38" s="358"/>
      <c r="T38" s="62"/>
    </row>
    <row r="39" spans="1:20" ht="27.75" customHeight="1">
      <c r="A39" s="55"/>
      <c r="B39" s="367">
        <v>10</v>
      </c>
      <c r="C39" s="376" t="s">
        <v>213</v>
      </c>
      <c r="D39" s="68">
        <v>2024</v>
      </c>
      <c r="E39" s="377" t="s">
        <v>212</v>
      </c>
      <c r="F39" s="73">
        <f>'0. Activos'!C51</f>
        <v>47</v>
      </c>
      <c r="G39" s="73">
        <f>'0. Activos'!D51</f>
        <v>38</v>
      </c>
      <c r="H39" s="73">
        <f>'0. Activos'!E51</f>
        <v>144</v>
      </c>
      <c r="I39" s="73">
        <f>'0. Activos'!F51</f>
        <v>32</v>
      </c>
      <c r="J39" s="73">
        <v>83</v>
      </c>
      <c r="K39" s="73">
        <f>'0. Activos'!H51</f>
        <v>86</v>
      </c>
      <c r="L39" s="73">
        <f>'0. Activos'!I51</f>
        <v>52</v>
      </c>
      <c r="M39" s="73">
        <f>'0. Activos'!J51</f>
        <v>33</v>
      </c>
      <c r="N39" s="73">
        <v>41</v>
      </c>
      <c r="O39" s="73">
        <f>'0. Activos'!L51</f>
        <v>90</v>
      </c>
      <c r="P39" s="73">
        <f>'0. Activos'!M51</f>
        <v>101</v>
      </c>
      <c r="Q39" s="73">
        <f>'0. Activos'!N51</f>
        <v>54</v>
      </c>
      <c r="R39" s="76"/>
      <c r="S39" s="358"/>
      <c r="T39" s="62"/>
    </row>
    <row r="40" spans="1:20" ht="27.75" customHeight="1">
      <c r="A40" s="55"/>
      <c r="B40" s="368"/>
      <c r="C40" s="376"/>
      <c r="D40" s="68">
        <v>2025</v>
      </c>
      <c r="E40" s="378"/>
      <c r="F40" s="74">
        <f>'0. Activos'!C52</f>
        <v>7</v>
      </c>
      <c r="G40" s="74">
        <f>'0. Activos'!D52</f>
        <v>15</v>
      </c>
      <c r="H40" s="74">
        <f>'0. Activos'!E52</f>
        <v>15</v>
      </c>
      <c r="I40" s="74">
        <f>'0. Activos'!F52</f>
        <v>24</v>
      </c>
      <c r="J40" s="74">
        <v>73</v>
      </c>
      <c r="K40" s="74">
        <f>'0. Activos'!H52</f>
        <v>20</v>
      </c>
      <c r="L40" s="74">
        <f>'0. Activos'!I52</f>
        <v>0</v>
      </c>
      <c r="M40" s="74">
        <f>'0. Activos'!J52</f>
        <v>0</v>
      </c>
      <c r="N40" s="74">
        <v>90</v>
      </c>
      <c r="O40" s="74">
        <f>'0. Activos'!L52</f>
        <v>0</v>
      </c>
      <c r="P40" s="74">
        <f>'0. Activos'!M52</f>
        <v>0</v>
      </c>
      <c r="Q40" s="74">
        <f>'0. Activos'!N52</f>
        <v>0</v>
      </c>
      <c r="R40" s="76"/>
      <c r="S40" s="358"/>
      <c r="T40" s="62"/>
    </row>
    <row r="41" spans="1:20" ht="29.25" customHeight="1">
      <c r="A41" s="55"/>
      <c r="B41" s="367">
        <v>11</v>
      </c>
      <c r="C41" s="376" t="s">
        <v>214</v>
      </c>
      <c r="D41" s="68">
        <v>2025</v>
      </c>
      <c r="E41" s="377" t="s">
        <v>212</v>
      </c>
      <c r="F41" s="73">
        <f>'0. Activos'!C85</f>
        <v>57</v>
      </c>
      <c r="G41" s="73">
        <f>'0. Activos'!D85</f>
        <v>51</v>
      </c>
      <c r="H41" s="73">
        <f>'0. Activos'!E85</f>
        <v>48</v>
      </c>
      <c r="I41" s="73">
        <f>'0. Activos'!F85</f>
        <v>50</v>
      </c>
      <c r="J41" s="73">
        <f>'0. Activos'!G85</f>
        <v>47</v>
      </c>
      <c r="K41" s="73">
        <f>'0. Activos'!H85</f>
        <v>51</v>
      </c>
      <c r="L41" s="73">
        <f>'0. Activos'!I85</f>
        <v>0</v>
      </c>
      <c r="M41" s="73">
        <f>'0. Activos'!J85</f>
        <v>0</v>
      </c>
      <c r="N41" s="73">
        <f>'0. Activos'!K85</f>
        <v>0</v>
      </c>
      <c r="O41" s="73">
        <f>'0. Activos'!L85</f>
        <v>0</v>
      </c>
      <c r="P41" s="73">
        <f>'0. Activos'!M85</f>
        <v>0</v>
      </c>
      <c r="Q41" s="73">
        <f>'0. Activos'!N85</f>
        <v>0</v>
      </c>
      <c r="R41" s="76"/>
      <c r="S41" s="358"/>
      <c r="T41" s="62"/>
    </row>
    <row r="42" spans="1:20" ht="24" customHeight="1">
      <c r="A42" s="55"/>
      <c r="B42" s="368"/>
      <c r="C42" s="376"/>
      <c r="D42" s="68">
        <v>2024</v>
      </c>
      <c r="E42" s="378"/>
      <c r="F42" s="74">
        <f>'0. Activos'!C86</f>
        <v>68</v>
      </c>
      <c r="G42" s="74">
        <f>'0. Activos'!D86</f>
        <v>64</v>
      </c>
      <c r="H42" s="74">
        <f>'0. Activos'!E86</f>
        <v>111</v>
      </c>
      <c r="I42" s="74">
        <f>'0. Activos'!F86</f>
        <v>113</v>
      </c>
      <c r="J42" s="74">
        <f>'0. Activos'!G86</f>
        <v>102</v>
      </c>
      <c r="K42" s="74">
        <f>'0. Activos'!H86</f>
        <v>94</v>
      </c>
      <c r="L42" s="74">
        <f>'0. Activos'!I86</f>
        <v>92</v>
      </c>
      <c r="M42" s="74">
        <f>'0. Activos'!J86</f>
        <v>94</v>
      </c>
      <c r="N42" s="74">
        <f>'0. Activos'!K86</f>
        <v>99</v>
      </c>
      <c r="O42" s="74">
        <f>'0. Activos'!L86</f>
        <v>76</v>
      </c>
      <c r="P42" s="74">
        <f>'0. Activos'!M86</f>
        <v>59</v>
      </c>
      <c r="Q42" s="74">
        <f>'0. Activos'!N86</f>
        <v>37</v>
      </c>
      <c r="R42" s="76"/>
      <c r="S42" s="358"/>
      <c r="T42" s="62"/>
    </row>
    <row r="43" spans="1:20" ht="29.25" customHeight="1">
      <c r="A43" s="55"/>
      <c r="B43" s="70"/>
      <c r="C43" s="376"/>
      <c r="D43" s="68"/>
      <c r="E43" s="377"/>
      <c r="F43" s="73"/>
      <c r="G43" s="73"/>
      <c r="H43" s="73"/>
      <c r="I43" s="73"/>
      <c r="J43" s="73"/>
      <c r="K43" s="73"/>
      <c r="L43" s="73"/>
      <c r="M43" s="73"/>
      <c r="N43" s="73"/>
      <c r="O43" s="73"/>
      <c r="P43" s="73"/>
      <c r="Q43" s="73"/>
      <c r="R43" s="76"/>
      <c r="S43" s="358"/>
      <c r="T43" s="62"/>
    </row>
    <row r="44" spans="1:20" ht="30.75" customHeight="1">
      <c r="A44" s="55"/>
      <c r="B44" s="82"/>
      <c r="C44" s="376"/>
      <c r="D44" s="69"/>
      <c r="E44" s="378"/>
      <c r="F44" s="74"/>
      <c r="G44" s="74"/>
      <c r="H44" s="74"/>
      <c r="I44" s="74"/>
      <c r="J44" s="74"/>
      <c r="K44" s="74"/>
      <c r="L44" s="74"/>
      <c r="M44" s="74"/>
      <c r="N44" s="74"/>
      <c r="O44" s="74"/>
      <c r="P44" s="74"/>
      <c r="Q44" s="74"/>
      <c r="R44" s="76"/>
      <c r="S44" s="358"/>
      <c r="T44" s="62"/>
    </row>
    <row r="45" spans="1:20">
      <c r="A45" s="55"/>
      <c r="B45" s="71"/>
      <c r="C45" s="376"/>
      <c r="D45" s="83"/>
      <c r="E45" s="83"/>
      <c r="F45" s="75"/>
      <c r="G45" s="75"/>
      <c r="H45" s="75"/>
      <c r="I45" s="75"/>
      <c r="J45" s="75"/>
      <c r="K45" s="75"/>
      <c r="L45" s="75"/>
      <c r="M45" s="75"/>
      <c r="N45" s="75"/>
      <c r="O45" s="75"/>
      <c r="P45" s="75"/>
      <c r="Q45" s="75"/>
      <c r="R45" s="76"/>
      <c r="S45" s="358"/>
      <c r="T45" s="62"/>
    </row>
    <row r="46" spans="1:20" ht="26.25" customHeight="1">
      <c r="A46" s="55"/>
      <c r="B46" s="70"/>
      <c r="C46" s="376"/>
      <c r="D46" s="68"/>
      <c r="E46" s="377"/>
      <c r="F46" s="73"/>
      <c r="G46" s="73"/>
      <c r="H46" s="73"/>
      <c r="I46" s="73"/>
      <c r="J46" s="73"/>
      <c r="K46" s="73"/>
      <c r="L46" s="73"/>
      <c r="M46" s="73"/>
      <c r="N46" s="73"/>
      <c r="O46" s="73"/>
      <c r="P46" s="73"/>
      <c r="Q46" s="73"/>
      <c r="R46" s="76"/>
      <c r="S46" s="358"/>
      <c r="T46" s="62"/>
    </row>
    <row r="47" spans="1:20" ht="29.25" customHeight="1">
      <c r="A47" s="55"/>
      <c r="B47" s="82"/>
      <c r="C47" s="376"/>
      <c r="D47" s="69"/>
      <c r="E47" s="378"/>
      <c r="F47" s="74"/>
      <c r="G47" s="74"/>
      <c r="H47" s="74"/>
      <c r="I47" s="74"/>
      <c r="J47" s="74"/>
      <c r="K47" s="74"/>
      <c r="L47" s="74"/>
      <c r="M47" s="74"/>
      <c r="N47" s="74"/>
      <c r="O47" s="74"/>
      <c r="P47" s="74"/>
      <c r="Q47" s="74"/>
      <c r="R47" s="76"/>
      <c r="S47" s="358"/>
      <c r="T47" s="62"/>
    </row>
    <row r="48" spans="1:20">
      <c r="A48" s="55"/>
      <c r="B48" s="71"/>
      <c r="C48" s="376"/>
      <c r="D48" s="83"/>
      <c r="E48" s="83"/>
      <c r="F48" s="75"/>
      <c r="G48" s="75"/>
      <c r="H48" s="75"/>
      <c r="I48" s="75"/>
      <c r="J48" s="75"/>
      <c r="K48" s="75"/>
      <c r="L48" s="75"/>
      <c r="M48" s="75"/>
      <c r="N48" s="75"/>
      <c r="O48" s="75"/>
      <c r="P48" s="75"/>
      <c r="Q48" s="75"/>
      <c r="R48" s="76"/>
      <c r="S48" s="358"/>
      <c r="T48" s="62"/>
    </row>
    <row r="49" spans="1:20">
      <c r="A49" s="55"/>
      <c r="B49" s="70"/>
      <c r="C49" s="376"/>
      <c r="D49" s="68"/>
      <c r="E49" s="379"/>
      <c r="F49" s="73"/>
      <c r="G49" s="73"/>
      <c r="H49" s="73"/>
      <c r="I49" s="73"/>
      <c r="J49" s="73"/>
      <c r="K49" s="73"/>
      <c r="L49" s="73"/>
      <c r="M49" s="73"/>
      <c r="N49" s="73"/>
      <c r="O49" s="73"/>
      <c r="P49" s="73"/>
      <c r="Q49" s="73"/>
      <c r="R49" s="76"/>
      <c r="S49" s="358"/>
      <c r="T49" s="62"/>
    </row>
    <row r="50" spans="1:20">
      <c r="A50" s="55"/>
      <c r="B50" s="82"/>
      <c r="C50" s="376"/>
      <c r="D50" s="69"/>
      <c r="E50" s="380"/>
      <c r="F50" s="74"/>
      <c r="G50" s="74"/>
      <c r="H50" s="74"/>
      <c r="I50" s="74"/>
      <c r="J50" s="74"/>
      <c r="K50" s="74"/>
      <c r="L50" s="74"/>
      <c r="M50" s="74"/>
      <c r="N50" s="74"/>
      <c r="O50" s="74"/>
      <c r="P50" s="74"/>
      <c r="Q50" s="74"/>
      <c r="R50" s="76"/>
      <c r="S50" s="358"/>
      <c r="T50" s="62"/>
    </row>
    <row r="51" spans="1:20">
      <c r="A51" s="55"/>
      <c r="B51" s="82"/>
      <c r="C51" s="376"/>
      <c r="D51" s="69"/>
      <c r="E51" s="78"/>
      <c r="F51" s="86"/>
      <c r="G51" s="86"/>
      <c r="H51" s="86"/>
      <c r="I51" s="86"/>
      <c r="J51" s="86"/>
      <c r="K51" s="86"/>
      <c r="L51" s="86"/>
      <c r="M51" s="86"/>
      <c r="N51" s="86"/>
      <c r="O51" s="86"/>
      <c r="P51" s="86"/>
      <c r="Q51" s="86"/>
      <c r="R51" s="87"/>
      <c r="S51" s="358"/>
      <c r="T51" s="62"/>
    </row>
    <row r="52" spans="1:20">
      <c r="A52" s="55"/>
      <c r="B52" s="71"/>
      <c r="C52" s="376"/>
      <c r="D52" s="83"/>
      <c r="E52" s="83"/>
      <c r="F52" s="75"/>
      <c r="G52" s="75"/>
      <c r="H52" s="75"/>
      <c r="I52" s="75"/>
      <c r="J52" s="75"/>
      <c r="K52" s="75"/>
      <c r="L52" s="75"/>
      <c r="M52" s="75"/>
      <c r="N52" s="75"/>
      <c r="O52" s="75"/>
      <c r="P52" s="75"/>
      <c r="Q52" s="75"/>
      <c r="R52" s="76"/>
      <c r="S52" s="358"/>
      <c r="T52" s="62"/>
    </row>
    <row r="53" spans="1:20">
      <c r="A53" s="55"/>
      <c r="B53" s="67"/>
      <c r="C53" s="84"/>
      <c r="D53" s="83"/>
      <c r="E53" s="83"/>
      <c r="F53" s="74"/>
      <c r="G53" s="74"/>
      <c r="H53" s="74"/>
      <c r="I53" s="74"/>
      <c r="J53" s="74"/>
      <c r="K53" s="74"/>
      <c r="L53" s="74"/>
      <c r="M53" s="74"/>
      <c r="N53" s="74"/>
      <c r="O53" s="74"/>
      <c r="P53" s="74"/>
      <c r="Q53" s="74"/>
      <c r="R53" s="76"/>
      <c r="S53" s="76"/>
      <c r="T53" s="62"/>
    </row>
    <row r="54" spans="1:20" ht="15.75" thickBot="1">
      <c r="A54" s="57"/>
      <c r="B54" s="58"/>
      <c r="C54" s="59"/>
      <c r="D54" s="60"/>
      <c r="E54" s="60"/>
      <c r="F54" s="58"/>
      <c r="G54" s="58"/>
      <c r="H54" s="58"/>
      <c r="I54" s="58"/>
      <c r="J54" s="58"/>
      <c r="K54" s="58"/>
      <c r="L54" s="58"/>
      <c r="M54" s="58"/>
      <c r="N54" s="58"/>
      <c r="O54" s="58"/>
      <c r="P54" s="58"/>
      <c r="Q54" s="58"/>
      <c r="R54" s="61"/>
      <c r="S54" s="61"/>
      <c r="T54" s="62"/>
    </row>
    <row r="55" spans="1:20" ht="15.75" thickBot="1">
      <c r="A55" s="40"/>
      <c r="B55" s="42"/>
      <c r="C55" s="41"/>
      <c r="D55" s="46"/>
      <c r="E55" s="46"/>
      <c r="F55" s="42"/>
      <c r="G55" s="42"/>
      <c r="H55" s="42"/>
      <c r="I55" s="42"/>
      <c r="J55" s="42"/>
      <c r="K55" s="42"/>
      <c r="L55" s="42"/>
      <c r="M55" s="42"/>
      <c r="N55" s="42"/>
      <c r="O55" s="42"/>
      <c r="P55" s="42"/>
      <c r="Q55" s="42"/>
      <c r="R55" s="42"/>
      <c r="S55" s="42"/>
      <c r="T55" s="43"/>
    </row>
  </sheetData>
  <sheetProtection formatCells="0" formatColumns="0" formatRows="0"/>
  <protectedRanges>
    <protectedRange sqref="R10 F7:Q52" name="Meses"/>
  </protectedRanges>
  <mergeCells count="57">
    <mergeCell ref="B39:B40"/>
    <mergeCell ref="B41:B42"/>
    <mergeCell ref="B29:B32"/>
    <mergeCell ref="E29:E32"/>
    <mergeCell ref="B33:B36"/>
    <mergeCell ref="E33:E36"/>
    <mergeCell ref="B37:B38"/>
    <mergeCell ref="C41:C42"/>
    <mergeCell ref="E41:E42"/>
    <mergeCell ref="C29:C32"/>
    <mergeCell ref="B19:B21"/>
    <mergeCell ref="E19:E21"/>
    <mergeCell ref="B22:B25"/>
    <mergeCell ref="E22:E25"/>
    <mergeCell ref="B26:B28"/>
    <mergeCell ref="E26:E28"/>
    <mergeCell ref="C19:C21"/>
    <mergeCell ref="C22:C25"/>
    <mergeCell ref="B11:B14"/>
    <mergeCell ref="E11:E14"/>
    <mergeCell ref="B15:B18"/>
    <mergeCell ref="E15:E18"/>
    <mergeCell ref="C11:C14"/>
    <mergeCell ref="C15:C18"/>
    <mergeCell ref="C46:C48"/>
    <mergeCell ref="E46:E47"/>
    <mergeCell ref="S46:S48"/>
    <mergeCell ref="C49:C52"/>
    <mergeCell ref="E49:E50"/>
    <mergeCell ref="S49:S52"/>
    <mergeCell ref="S41:S42"/>
    <mergeCell ref="C43:C45"/>
    <mergeCell ref="E43:E44"/>
    <mergeCell ref="S43:S45"/>
    <mergeCell ref="C37:C38"/>
    <mergeCell ref="E37:E38"/>
    <mergeCell ref="S37:S38"/>
    <mergeCell ref="C39:C40"/>
    <mergeCell ref="E39:E40"/>
    <mergeCell ref="S39:S40"/>
    <mergeCell ref="S29:S32"/>
    <mergeCell ref="C33:C36"/>
    <mergeCell ref="S33:S36"/>
    <mergeCell ref="C26:C28"/>
    <mergeCell ref="S26:S28"/>
    <mergeCell ref="D3:N4"/>
    <mergeCell ref="B2:C4"/>
    <mergeCell ref="D2:N2"/>
    <mergeCell ref="C7:C10"/>
    <mergeCell ref="E7:E10"/>
    <mergeCell ref="B7:B10"/>
    <mergeCell ref="S19:S21"/>
    <mergeCell ref="S22:S25"/>
    <mergeCell ref="S15:S18"/>
    <mergeCell ref="S11:S14"/>
    <mergeCell ref="O2:S4"/>
    <mergeCell ref="S7:S10"/>
  </mergeCells>
  <phoneticPr fontId="3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AG35"/>
  <sheetViews>
    <sheetView topLeftCell="A16" zoomScale="90" zoomScaleNormal="90" workbookViewId="0">
      <selection activeCell="B22" sqref="B22:O33"/>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269</v>
      </c>
      <c r="E5" s="351"/>
      <c r="F5" s="351"/>
      <c r="G5" s="351"/>
      <c r="H5" s="287" t="s">
        <v>1</v>
      </c>
      <c r="I5" s="287"/>
      <c r="J5" s="289" t="s">
        <v>270</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237</v>
      </c>
      <c r="F7" s="277"/>
      <c r="G7" s="277"/>
      <c r="H7" s="277"/>
      <c r="I7" s="277"/>
      <c r="J7" s="277"/>
      <c r="K7" s="277"/>
      <c r="L7" s="277"/>
      <c r="M7" s="277"/>
      <c r="N7" s="277"/>
      <c r="O7" s="278"/>
      <c r="Q7" s="2"/>
    </row>
    <row r="8" spans="2:33" ht="20.25" customHeight="1" thickBot="1">
      <c r="B8" s="333" t="s">
        <v>144</v>
      </c>
      <c r="C8" s="334"/>
      <c r="D8" s="335"/>
      <c r="E8" s="277" t="s">
        <v>145</v>
      </c>
      <c r="F8" s="277"/>
      <c r="G8" s="277"/>
      <c r="H8" s="277"/>
      <c r="I8" s="277"/>
      <c r="J8" s="277"/>
      <c r="K8" s="277"/>
      <c r="L8" s="277"/>
      <c r="M8" s="277"/>
      <c r="N8" s="277"/>
      <c r="O8" s="278"/>
    </row>
    <row r="9" spans="2:33" ht="20.25" customHeight="1" thickBot="1">
      <c r="B9" s="333" t="s">
        <v>4</v>
      </c>
      <c r="C9" s="334"/>
      <c r="D9" s="335"/>
      <c r="E9" s="356" t="s">
        <v>146</v>
      </c>
      <c r="F9" s="356"/>
      <c r="G9" s="356"/>
      <c r="H9" s="356"/>
      <c r="I9" s="356"/>
      <c r="J9" s="356"/>
      <c r="K9" s="356"/>
      <c r="L9" s="356"/>
      <c r="M9" s="356"/>
      <c r="N9" s="356"/>
      <c r="O9" s="357"/>
    </row>
    <row r="10" spans="2:33" ht="20.25" customHeight="1" thickBot="1">
      <c r="B10" s="333" t="s">
        <v>143</v>
      </c>
      <c r="C10" s="334"/>
      <c r="D10" s="335"/>
      <c r="E10" s="356" t="s">
        <v>147</v>
      </c>
      <c r="F10" s="356"/>
      <c r="G10" s="356"/>
      <c r="H10" s="356"/>
      <c r="I10" s="356"/>
      <c r="J10" s="356"/>
      <c r="K10" s="356"/>
      <c r="L10" s="356"/>
      <c r="M10" s="356"/>
      <c r="N10" s="356"/>
      <c r="O10" s="357"/>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row>
    <row r="14" spans="2:33" ht="18.75" customHeight="1">
      <c r="B14" s="244" t="s">
        <v>142</v>
      </c>
      <c r="C14" s="245"/>
      <c r="D14" s="245"/>
      <c r="E14" s="245"/>
      <c r="F14" s="245"/>
      <c r="G14" s="245"/>
      <c r="H14" s="245"/>
      <c r="I14" s="245"/>
      <c r="J14" s="245"/>
      <c r="K14" s="245"/>
      <c r="L14" s="245"/>
      <c r="M14" s="245"/>
      <c r="N14" s="245"/>
      <c r="O14" s="246"/>
    </row>
    <row r="15" spans="2:33" ht="18.75" customHeight="1">
      <c r="B15" s="219" t="s">
        <v>13</v>
      </c>
      <c r="C15" s="220"/>
      <c r="D15" s="220"/>
      <c r="E15" s="220"/>
      <c r="F15" s="220"/>
      <c r="G15" s="220"/>
      <c r="H15" s="220"/>
      <c r="I15" s="220"/>
      <c r="J15" s="220"/>
      <c r="K15" s="220"/>
      <c r="L15" s="220"/>
      <c r="M15" s="220"/>
      <c r="N15" s="220"/>
      <c r="O15" s="221"/>
    </row>
    <row r="16" spans="2:33"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7" t="s">
        <v>149</v>
      </c>
      <c r="C17" s="27">
        <v>1</v>
      </c>
      <c r="D17" s="27">
        <v>5</v>
      </c>
      <c r="E17" s="27">
        <v>0</v>
      </c>
      <c r="F17" s="27">
        <v>1</v>
      </c>
      <c r="G17" s="27">
        <v>0</v>
      </c>
      <c r="H17" s="27">
        <v>2</v>
      </c>
      <c r="I17" s="27">
        <v>1</v>
      </c>
      <c r="J17" s="27">
        <v>4</v>
      </c>
      <c r="K17" s="27"/>
      <c r="L17" s="27"/>
      <c r="M17" s="27"/>
      <c r="N17" s="27"/>
      <c r="O17" s="13"/>
    </row>
    <row r="18" spans="2:15" ht="21" customHeight="1">
      <c r="B18" s="97" t="s">
        <v>150</v>
      </c>
      <c r="C18" s="48">
        <v>70</v>
      </c>
      <c r="D18" s="48">
        <v>73</v>
      </c>
      <c r="E18" s="48">
        <v>71</v>
      </c>
      <c r="F18" s="48">
        <v>81</v>
      </c>
      <c r="G18" s="48">
        <v>75</v>
      </c>
      <c r="H18" s="48">
        <v>80</v>
      </c>
      <c r="I18" s="48">
        <v>99</v>
      </c>
      <c r="J18" s="48">
        <v>99</v>
      </c>
      <c r="K18" s="48"/>
      <c r="L18" s="48"/>
      <c r="M18" s="48"/>
      <c r="N18" s="48"/>
      <c r="O18" s="13"/>
    </row>
    <row r="19" spans="2:15" ht="21" customHeight="1">
      <c r="B19" s="96" t="s">
        <v>292</v>
      </c>
      <c r="C19" s="110">
        <f t="shared" ref="C19:N19" si="0">C17/C18*100</f>
        <v>1.4285714285714286</v>
      </c>
      <c r="D19" s="110">
        <f t="shared" si="0"/>
        <v>6.8493150684931505</v>
      </c>
      <c r="E19" s="110">
        <f t="shared" si="0"/>
        <v>0</v>
      </c>
      <c r="F19" s="110">
        <f t="shared" si="0"/>
        <v>1.2345679012345678</v>
      </c>
      <c r="G19" s="110">
        <f t="shared" si="0"/>
        <v>0</v>
      </c>
      <c r="H19" s="110">
        <f t="shared" si="0"/>
        <v>2.5</v>
      </c>
      <c r="I19" s="110">
        <f t="shared" si="0"/>
        <v>1.0101010101010102</v>
      </c>
      <c r="J19" s="110">
        <f t="shared" si="0"/>
        <v>4.0404040404040407</v>
      </c>
      <c r="K19" s="110" t="e">
        <f t="shared" si="0"/>
        <v>#DIV/0!</v>
      </c>
      <c r="L19" s="110" t="e">
        <f t="shared" si="0"/>
        <v>#DIV/0!</v>
      </c>
      <c r="M19" s="110" t="e">
        <f t="shared" si="0"/>
        <v>#DIV/0!</v>
      </c>
      <c r="N19" s="110" t="e">
        <f t="shared" si="0"/>
        <v>#DIV/0!</v>
      </c>
      <c r="O19" s="110"/>
    </row>
    <row r="20" spans="2:15" ht="21" customHeight="1">
      <c r="B20" s="197" t="s">
        <v>262</v>
      </c>
      <c r="C20" s="198">
        <v>1.23</v>
      </c>
      <c r="D20" s="198">
        <v>3.92</v>
      </c>
      <c r="E20" s="198">
        <v>2.78</v>
      </c>
      <c r="F20" s="198">
        <v>1.34</v>
      </c>
      <c r="G20" s="198">
        <v>2.12</v>
      </c>
      <c r="H20" s="198">
        <v>2.7</v>
      </c>
      <c r="I20" s="198">
        <v>3.29</v>
      </c>
      <c r="J20" s="198">
        <v>0.72</v>
      </c>
      <c r="K20" s="198">
        <v>2.0299999999999998</v>
      </c>
      <c r="L20" s="198">
        <v>1.73</v>
      </c>
      <c r="M20" s="198">
        <v>2.99</v>
      </c>
      <c r="N20" s="198">
        <v>1.03</v>
      </c>
      <c r="O20" s="198"/>
    </row>
    <row r="21" spans="2:15" ht="18" customHeight="1" thickBot="1">
      <c r="B21" s="222" t="s">
        <v>28</v>
      </c>
      <c r="C21" s="223"/>
      <c r="D21" s="223"/>
      <c r="E21" s="223"/>
      <c r="F21" s="223"/>
      <c r="G21" s="223"/>
      <c r="H21" s="223"/>
      <c r="I21" s="223"/>
      <c r="J21" s="223"/>
      <c r="K21" s="223"/>
      <c r="L21" s="223"/>
      <c r="M21" s="223"/>
      <c r="N21" s="223"/>
      <c r="O21" s="224"/>
    </row>
    <row r="22" spans="2:15" s="2" customFormat="1" ht="25.5" customHeight="1">
      <c r="B22" s="225"/>
      <c r="C22" s="225"/>
      <c r="D22" s="225"/>
      <c r="E22" s="225"/>
      <c r="F22" s="225"/>
      <c r="G22" s="225"/>
      <c r="H22" s="225"/>
      <c r="I22" s="225"/>
      <c r="J22" s="225"/>
      <c r="K22" s="225"/>
      <c r="L22" s="225"/>
      <c r="M22" s="225"/>
      <c r="N22" s="225"/>
      <c r="O22" s="225"/>
    </row>
    <row r="23" spans="2:15" s="2" customFormat="1" ht="25.5" customHeight="1">
      <c r="B23" s="226"/>
      <c r="C23" s="226"/>
      <c r="D23" s="226"/>
      <c r="E23" s="226"/>
      <c r="F23" s="226"/>
      <c r="G23" s="226"/>
      <c r="H23" s="226"/>
      <c r="I23" s="226"/>
      <c r="J23" s="226"/>
      <c r="K23" s="226"/>
      <c r="L23" s="226"/>
      <c r="M23" s="226"/>
      <c r="N23" s="226"/>
      <c r="O23" s="226"/>
    </row>
    <row r="24" spans="2:15" s="2" customFormat="1" ht="25.5" customHeight="1">
      <c r="B24" s="226"/>
      <c r="C24" s="226"/>
      <c r="D24" s="226"/>
      <c r="E24" s="226"/>
      <c r="F24" s="226"/>
      <c r="G24" s="226"/>
      <c r="H24" s="226"/>
      <c r="I24" s="226"/>
      <c r="J24" s="226"/>
      <c r="K24" s="226"/>
      <c r="L24" s="226"/>
      <c r="M24" s="226"/>
      <c r="N24" s="226"/>
      <c r="O24" s="226"/>
    </row>
    <row r="25" spans="2:15" s="2" customFormat="1" ht="25.5" customHeight="1">
      <c r="B25" s="226"/>
      <c r="C25" s="226"/>
      <c r="D25" s="226"/>
      <c r="E25" s="226"/>
      <c r="F25" s="226"/>
      <c r="G25" s="226"/>
      <c r="H25" s="226"/>
      <c r="I25" s="226"/>
      <c r="J25" s="226"/>
      <c r="K25" s="226"/>
      <c r="L25" s="226"/>
      <c r="M25" s="226"/>
      <c r="N25" s="226"/>
      <c r="O25" s="226"/>
    </row>
    <row r="26" spans="2:15" s="2" customFormat="1" ht="25.5" customHeight="1">
      <c r="B26" s="226"/>
      <c r="C26" s="226"/>
      <c r="D26" s="226"/>
      <c r="E26" s="226"/>
      <c r="F26" s="226"/>
      <c r="G26" s="226"/>
      <c r="H26" s="226"/>
      <c r="I26" s="226"/>
      <c r="J26" s="226"/>
      <c r="K26" s="226"/>
      <c r="L26" s="226"/>
      <c r="M26" s="226"/>
      <c r="N26" s="226"/>
      <c r="O26" s="226"/>
    </row>
    <row r="27" spans="2:15" ht="25.5" customHeight="1">
      <c r="B27" s="226"/>
      <c r="C27" s="226"/>
      <c r="D27" s="226"/>
      <c r="E27" s="226"/>
      <c r="F27" s="226"/>
      <c r="G27" s="226"/>
      <c r="H27" s="226"/>
      <c r="I27" s="226"/>
      <c r="J27" s="226"/>
      <c r="K27" s="226"/>
      <c r="L27" s="226"/>
      <c r="M27" s="226"/>
      <c r="N27" s="226"/>
      <c r="O27" s="226"/>
    </row>
    <row r="28" spans="2:15" ht="25.5" customHeight="1">
      <c r="B28" s="226"/>
      <c r="C28" s="226"/>
      <c r="D28" s="226"/>
      <c r="E28" s="226"/>
      <c r="F28" s="226"/>
      <c r="G28" s="226"/>
      <c r="H28" s="226"/>
      <c r="I28" s="226"/>
      <c r="J28" s="226"/>
      <c r="K28" s="226"/>
      <c r="L28" s="226"/>
      <c r="M28" s="226"/>
      <c r="N28" s="226"/>
      <c r="O28" s="226"/>
    </row>
    <row r="29" spans="2:15" ht="25.5" customHeight="1">
      <c r="B29" s="226"/>
      <c r="C29" s="226"/>
      <c r="D29" s="226"/>
      <c r="E29" s="226"/>
      <c r="F29" s="226"/>
      <c r="G29" s="226"/>
      <c r="H29" s="226"/>
      <c r="I29" s="226"/>
      <c r="J29" s="226"/>
      <c r="K29" s="226"/>
      <c r="L29" s="226"/>
      <c r="M29" s="226"/>
      <c r="N29" s="226"/>
      <c r="O29" s="226"/>
    </row>
    <row r="30" spans="2:15" ht="25.5" customHeight="1">
      <c r="B30" s="226"/>
      <c r="C30" s="226"/>
      <c r="D30" s="226"/>
      <c r="E30" s="226"/>
      <c r="F30" s="226"/>
      <c r="G30" s="226"/>
      <c r="H30" s="226"/>
      <c r="I30" s="226"/>
      <c r="J30" s="226"/>
      <c r="K30" s="226"/>
      <c r="L30" s="226"/>
      <c r="M30" s="226"/>
      <c r="N30" s="226"/>
      <c r="O30" s="226"/>
    </row>
    <row r="31" spans="2:15" ht="25.5" customHeight="1">
      <c r="B31" s="226"/>
      <c r="C31" s="226"/>
      <c r="D31" s="226"/>
      <c r="E31" s="226"/>
      <c r="F31" s="226"/>
      <c r="G31" s="226"/>
      <c r="H31" s="226"/>
      <c r="I31" s="226"/>
      <c r="J31" s="226"/>
      <c r="K31" s="226"/>
      <c r="L31" s="226"/>
      <c r="M31" s="226"/>
      <c r="N31" s="226"/>
      <c r="O31" s="226"/>
    </row>
    <row r="32" spans="2:15" ht="25.5" customHeight="1">
      <c r="B32" s="226"/>
      <c r="C32" s="226"/>
      <c r="D32" s="226"/>
      <c r="E32" s="226"/>
      <c r="F32" s="226"/>
      <c r="G32" s="226"/>
      <c r="H32" s="226"/>
      <c r="I32" s="226"/>
      <c r="J32" s="226"/>
      <c r="K32" s="226"/>
      <c r="L32" s="226"/>
      <c r="M32" s="226"/>
      <c r="N32" s="226"/>
      <c r="O32" s="226"/>
    </row>
    <row r="33" spans="2:15" ht="25.5" customHeight="1">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74.25" customHeight="1">
      <c r="B35" s="353" t="s">
        <v>288</v>
      </c>
      <c r="C35" s="354"/>
      <c r="D35" s="354"/>
      <c r="E35" s="354"/>
      <c r="F35" s="354"/>
      <c r="G35" s="354"/>
      <c r="H35" s="354"/>
      <c r="I35" s="354"/>
      <c r="J35" s="354"/>
      <c r="K35" s="354"/>
      <c r="L35" s="354"/>
      <c r="M35" s="354"/>
      <c r="N35" s="354"/>
      <c r="O35" s="355"/>
    </row>
  </sheetData>
  <sheetProtection pivotTables="0"/>
  <mergeCells count="35">
    <mergeCell ref="K4:O4"/>
    <mergeCell ref="B1:C3"/>
    <mergeCell ref="D1:K1"/>
    <mergeCell ref="L1:O3"/>
    <mergeCell ref="R1:S3"/>
    <mergeCell ref="T1:AB1"/>
    <mergeCell ref="AE1:AG1"/>
    <mergeCell ref="D2:K3"/>
    <mergeCell ref="T2:AB3"/>
    <mergeCell ref="AC2:AD2"/>
    <mergeCell ref="AE2:AG2"/>
    <mergeCell ref="AC3:AD3"/>
    <mergeCell ref="AE3:AG3"/>
    <mergeCell ref="AC1:AD1"/>
    <mergeCell ref="B5:C5"/>
    <mergeCell ref="D5:G5"/>
    <mergeCell ref="H5:I5"/>
    <mergeCell ref="J5:N5"/>
    <mergeCell ref="B11:O11"/>
    <mergeCell ref="B7:D7"/>
    <mergeCell ref="E7:O7"/>
    <mergeCell ref="B12:O12"/>
    <mergeCell ref="B13:O13"/>
    <mergeCell ref="B14:O14"/>
    <mergeCell ref="B8:D8"/>
    <mergeCell ref="E8:O8"/>
    <mergeCell ref="B9:D9"/>
    <mergeCell ref="E9:O9"/>
    <mergeCell ref="B10:D10"/>
    <mergeCell ref="E10:O10"/>
    <mergeCell ref="B15:O15"/>
    <mergeCell ref="B21:O21"/>
    <mergeCell ref="B22:O33"/>
    <mergeCell ref="B34:O34"/>
    <mergeCell ref="B35:O35"/>
  </mergeCells>
  <phoneticPr fontId="37" type="noConversion"/>
  <pageMargins left="0.7" right="0.7" top="0.75" bottom="0.75" header="0.3" footer="0.3"/>
  <pageSetup paperSize="9"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List!$G$2:$G$17</xm:f>
          </x14:formula1>
          <xm:sqref>D5:G5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tabColor rgb="FF92D050"/>
  </sheetPr>
  <dimension ref="B1:AG35"/>
  <sheetViews>
    <sheetView topLeftCell="A19" zoomScaleNormal="100" workbookViewId="0">
      <selection activeCell="S22" sqref="S22"/>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110</v>
      </c>
      <c r="E5" s="351"/>
      <c r="F5" s="351"/>
      <c r="G5" s="351"/>
      <c r="H5" s="287" t="s">
        <v>1</v>
      </c>
      <c r="I5" s="287"/>
      <c r="J5" s="289" t="s">
        <v>141</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228</v>
      </c>
      <c r="F7" s="277"/>
      <c r="G7" s="277"/>
      <c r="H7" s="277"/>
      <c r="I7" s="277"/>
      <c r="J7" s="277"/>
      <c r="K7" s="277"/>
      <c r="L7" s="277"/>
      <c r="M7" s="277"/>
      <c r="N7" s="277"/>
      <c r="O7" s="278"/>
      <c r="Q7" s="2"/>
    </row>
    <row r="8" spans="2:33" ht="20.25" customHeight="1" thickBot="1">
      <c r="B8" s="333" t="s">
        <v>144</v>
      </c>
      <c r="C8" s="334"/>
      <c r="D8" s="335"/>
      <c r="E8" s="277" t="s">
        <v>145</v>
      </c>
      <c r="F8" s="277"/>
      <c r="G8" s="277"/>
      <c r="H8" s="277"/>
      <c r="I8" s="277"/>
      <c r="J8" s="277"/>
      <c r="K8" s="277"/>
      <c r="L8" s="277"/>
      <c r="M8" s="277"/>
      <c r="N8" s="277"/>
      <c r="O8" s="278"/>
    </row>
    <row r="9" spans="2:33" ht="20.25" customHeight="1" thickBot="1">
      <c r="B9" s="333" t="s">
        <v>4</v>
      </c>
      <c r="C9" s="334"/>
      <c r="D9" s="335"/>
      <c r="E9" s="356" t="s">
        <v>146</v>
      </c>
      <c r="F9" s="356"/>
      <c r="G9" s="356"/>
      <c r="H9" s="356"/>
      <c r="I9" s="356"/>
      <c r="J9" s="356"/>
      <c r="K9" s="356"/>
      <c r="L9" s="356"/>
      <c r="M9" s="356"/>
      <c r="N9" s="356"/>
      <c r="O9" s="357"/>
    </row>
    <row r="10" spans="2:33" ht="20.25" customHeight="1" thickBot="1">
      <c r="B10" s="333" t="s">
        <v>143</v>
      </c>
      <c r="C10" s="334"/>
      <c r="D10" s="335"/>
      <c r="E10" s="356" t="s">
        <v>147</v>
      </c>
      <c r="F10" s="356"/>
      <c r="G10" s="356"/>
      <c r="H10" s="356"/>
      <c r="I10" s="356"/>
      <c r="J10" s="356"/>
      <c r="K10" s="356"/>
      <c r="L10" s="356"/>
      <c r="M10" s="356"/>
      <c r="N10" s="356"/>
      <c r="O10" s="357"/>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row>
    <row r="14" spans="2:33" ht="18.75" customHeight="1">
      <c r="B14" s="244" t="s">
        <v>142</v>
      </c>
      <c r="C14" s="245"/>
      <c r="D14" s="245"/>
      <c r="E14" s="245"/>
      <c r="F14" s="245"/>
      <c r="G14" s="245"/>
      <c r="H14" s="245"/>
      <c r="I14" s="245"/>
      <c r="J14" s="245"/>
      <c r="K14" s="245"/>
      <c r="L14" s="245"/>
      <c r="M14" s="245"/>
      <c r="N14" s="245"/>
      <c r="O14" s="246"/>
    </row>
    <row r="15" spans="2:33" ht="18.75" customHeight="1">
      <c r="B15" s="219" t="s">
        <v>13</v>
      </c>
      <c r="C15" s="220"/>
      <c r="D15" s="220"/>
      <c r="E15" s="220"/>
      <c r="F15" s="220"/>
      <c r="G15" s="220"/>
      <c r="H15" s="220"/>
      <c r="I15" s="220"/>
      <c r="J15" s="220"/>
      <c r="K15" s="220"/>
      <c r="L15" s="220"/>
      <c r="M15" s="220"/>
      <c r="N15" s="220"/>
      <c r="O15" s="221"/>
    </row>
    <row r="16" spans="2:33"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7" t="s">
        <v>149</v>
      </c>
      <c r="C17" s="27">
        <v>0</v>
      </c>
      <c r="D17" s="27">
        <v>0</v>
      </c>
      <c r="E17" s="27">
        <v>0</v>
      </c>
      <c r="F17" s="27">
        <v>0</v>
      </c>
      <c r="G17" s="27">
        <v>0</v>
      </c>
      <c r="H17" s="27">
        <v>1</v>
      </c>
      <c r="I17" s="27">
        <v>0</v>
      </c>
      <c r="J17" s="27">
        <v>0</v>
      </c>
      <c r="K17" s="27"/>
      <c r="L17" s="27"/>
      <c r="M17" s="27"/>
      <c r="N17" s="27"/>
      <c r="O17" s="65"/>
    </row>
    <row r="18" spans="2:15" ht="21" customHeight="1">
      <c r="B18" s="97" t="s">
        <v>150</v>
      </c>
      <c r="C18" s="48">
        <v>7</v>
      </c>
      <c r="D18" s="48">
        <v>15</v>
      </c>
      <c r="E18" s="48">
        <v>15</v>
      </c>
      <c r="F18" s="48">
        <v>24</v>
      </c>
      <c r="G18" s="48">
        <v>22</v>
      </c>
      <c r="H18" s="48">
        <v>20</v>
      </c>
      <c r="I18" s="48">
        <v>11</v>
      </c>
      <c r="J18" s="48">
        <v>10</v>
      </c>
      <c r="K18" s="48"/>
      <c r="L18" s="48"/>
      <c r="M18" s="48"/>
      <c r="N18" s="48"/>
      <c r="O18" s="13"/>
    </row>
    <row r="19" spans="2:15" ht="21" customHeight="1">
      <c r="B19" s="96" t="s">
        <v>292</v>
      </c>
      <c r="C19" s="95">
        <f t="shared" ref="C19:N19" si="0">C17/C18*100</f>
        <v>0</v>
      </c>
      <c r="D19" s="95">
        <f t="shared" si="0"/>
        <v>0</v>
      </c>
      <c r="E19" s="95">
        <f t="shared" si="0"/>
        <v>0</v>
      </c>
      <c r="F19" s="95">
        <f t="shared" si="0"/>
        <v>0</v>
      </c>
      <c r="G19" s="95">
        <f t="shared" si="0"/>
        <v>0</v>
      </c>
      <c r="H19" s="95">
        <f t="shared" si="0"/>
        <v>5</v>
      </c>
      <c r="I19" s="95">
        <f t="shared" si="0"/>
        <v>0</v>
      </c>
      <c r="J19" s="95">
        <f t="shared" si="0"/>
        <v>0</v>
      </c>
      <c r="K19" s="95" t="e">
        <f t="shared" si="0"/>
        <v>#DIV/0!</v>
      </c>
      <c r="L19" s="95" t="e">
        <f t="shared" si="0"/>
        <v>#DIV/0!</v>
      </c>
      <c r="M19" s="95" t="e">
        <f t="shared" si="0"/>
        <v>#DIV/0!</v>
      </c>
      <c r="N19" s="95" t="e">
        <f t="shared" si="0"/>
        <v>#DIV/0!</v>
      </c>
      <c r="O19" s="95"/>
    </row>
    <row r="20" spans="2:15" ht="21" customHeight="1">
      <c r="B20" s="197" t="s">
        <v>262</v>
      </c>
      <c r="C20" s="198">
        <v>2.2999999999999998</v>
      </c>
      <c r="D20" s="198">
        <v>5.3</v>
      </c>
      <c r="E20" s="198">
        <v>0</v>
      </c>
      <c r="F20" s="198">
        <v>0</v>
      </c>
      <c r="G20" s="198">
        <v>2.4</v>
      </c>
      <c r="H20" s="198">
        <v>2.2999999999999998</v>
      </c>
      <c r="I20" s="198">
        <v>3.8</v>
      </c>
      <c r="J20" s="198">
        <v>0</v>
      </c>
      <c r="K20" s="198">
        <v>0</v>
      </c>
      <c r="L20" s="198">
        <v>2.2000000000000002</v>
      </c>
      <c r="M20" s="198">
        <v>0</v>
      </c>
      <c r="N20" s="198">
        <v>0</v>
      </c>
      <c r="O20" s="199"/>
    </row>
    <row r="21" spans="2:15" ht="18" customHeight="1" thickBot="1">
      <c r="B21" s="222" t="s">
        <v>28</v>
      </c>
      <c r="C21" s="223"/>
      <c r="D21" s="223"/>
      <c r="E21" s="223"/>
      <c r="F21" s="223"/>
      <c r="G21" s="223"/>
      <c r="H21" s="223"/>
      <c r="I21" s="223"/>
      <c r="J21" s="223"/>
      <c r="K21" s="223"/>
      <c r="L21" s="223"/>
      <c r="M21" s="223"/>
      <c r="N21" s="223"/>
      <c r="O21" s="224"/>
    </row>
    <row r="22" spans="2:15" s="2" customFormat="1" ht="27" customHeight="1">
      <c r="B22" s="225"/>
      <c r="C22" s="225"/>
      <c r="D22" s="225"/>
      <c r="E22" s="225"/>
      <c r="F22" s="225"/>
      <c r="G22" s="225"/>
      <c r="H22" s="225"/>
      <c r="I22" s="225"/>
      <c r="J22" s="225"/>
      <c r="K22" s="225"/>
      <c r="L22" s="225"/>
      <c r="M22" s="225"/>
      <c r="N22" s="225"/>
      <c r="O22" s="225"/>
    </row>
    <row r="23" spans="2:15" s="2" customFormat="1" ht="27" customHeight="1">
      <c r="B23" s="226"/>
      <c r="C23" s="226"/>
      <c r="D23" s="226"/>
      <c r="E23" s="226"/>
      <c r="F23" s="226"/>
      <c r="G23" s="226"/>
      <c r="H23" s="226"/>
      <c r="I23" s="226"/>
      <c r="J23" s="226"/>
      <c r="K23" s="226"/>
      <c r="L23" s="226"/>
      <c r="M23" s="226"/>
      <c r="N23" s="226"/>
      <c r="O23" s="226"/>
    </row>
    <row r="24" spans="2:15" s="2" customFormat="1" ht="27" customHeight="1">
      <c r="B24" s="226"/>
      <c r="C24" s="226"/>
      <c r="D24" s="226"/>
      <c r="E24" s="226"/>
      <c r="F24" s="226"/>
      <c r="G24" s="226"/>
      <c r="H24" s="226"/>
      <c r="I24" s="226"/>
      <c r="J24" s="226"/>
      <c r="K24" s="226"/>
      <c r="L24" s="226"/>
      <c r="M24" s="226"/>
      <c r="N24" s="226"/>
      <c r="O24" s="226"/>
    </row>
    <row r="25" spans="2:15" s="2" customFormat="1" ht="27" customHeight="1">
      <c r="B25" s="226"/>
      <c r="C25" s="226"/>
      <c r="D25" s="226"/>
      <c r="E25" s="226"/>
      <c r="F25" s="226"/>
      <c r="G25" s="226"/>
      <c r="H25" s="226"/>
      <c r="I25" s="226"/>
      <c r="J25" s="226"/>
      <c r="K25" s="226"/>
      <c r="L25" s="226"/>
      <c r="M25" s="226"/>
      <c r="N25" s="226"/>
      <c r="O25" s="226"/>
    </row>
    <row r="26" spans="2:15" s="2" customFormat="1" ht="27" customHeight="1">
      <c r="B26" s="226"/>
      <c r="C26" s="226"/>
      <c r="D26" s="226"/>
      <c r="E26" s="226"/>
      <c r="F26" s="226"/>
      <c r="G26" s="226"/>
      <c r="H26" s="226"/>
      <c r="I26" s="226"/>
      <c r="J26" s="226"/>
      <c r="K26" s="226"/>
      <c r="L26" s="226"/>
      <c r="M26" s="226"/>
      <c r="N26" s="226"/>
      <c r="O26" s="226"/>
    </row>
    <row r="27" spans="2:15" ht="27" customHeight="1">
      <c r="B27" s="226"/>
      <c r="C27" s="226"/>
      <c r="D27" s="226"/>
      <c r="E27" s="226"/>
      <c r="F27" s="226"/>
      <c r="G27" s="226"/>
      <c r="H27" s="226"/>
      <c r="I27" s="226"/>
      <c r="J27" s="226"/>
      <c r="K27" s="226"/>
      <c r="L27" s="226"/>
      <c r="M27" s="226"/>
      <c r="N27" s="226"/>
      <c r="O27" s="226"/>
    </row>
    <row r="28" spans="2:15" ht="27" customHeight="1">
      <c r="B28" s="226"/>
      <c r="C28" s="226"/>
      <c r="D28" s="226"/>
      <c r="E28" s="226"/>
      <c r="F28" s="226"/>
      <c r="G28" s="226"/>
      <c r="H28" s="226"/>
      <c r="I28" s="226"/>
      <c r="J28" s="226"/>
      <c r="K28" s="226"/>
      <c r="L28" s="226"/>
      <c r="M28" s="226"/>
      <c r="N28" s="226"/>
      <c r="O28" s="226"/>
    </row>
    <row r="29" spans="2:15" ht="27" customHeight="1">
      <c r="B29" s="226"/>
      <c r="C29" s="226"/>
      <c r="D29" s="226"/>
      <c r="E29" s="226"/>
      <c r="F29" s="226"/>
      <c r="G29" s="226"/>
      <c r="H29" s="226"/>
      <c r="I29" s="226"/>
      <c r="J29" s="226"/>
      <c r="K29" s="226"/>
      <c r="L29" s="226"/>
      <c r="M29" s="226"/>
      <c r="N29" s="226"/>
      <c r="O29" s="226"/>
    </row>
    <row r="30" spans="2:15" ht="27" customHeight="1">
      <c r="B30" s="226"/>
      <c r="C30" s="226"/>
      <c r="D30" s="226"/>
      <c r="E30" s="226"/>
      <c r="F30" s="226"/>
      <c r="G30" s="226"/>
      <c r="H30" s="226"/>
      <c r="I30" s="226"/>
      <c r="J30" s="226"/>
      <c r="K30" s="226"/>
      <c r="L30" s="226"/>
      <c r="M30" s="226"/>
      <c r="N30" s="226"/>
      <c r="O30" s="226"/>
    </row>
    <row r="31" spans="2:15" ht="27" customHeight="1">
      <c r="B31" s="226"/>
      <c r="C31" s="226"/>
      <c r="D31" s="226"/>
      <c r="E31" s="226"/>
      <c r="F31" s="226"/>
      <c r="G31" s="226"/>
      <c r="H31" s="226"/>
      <c r="I31" s="226"/>
      <c r="J31" s="226"/>
      <c r="K31" s="226"/>
      <c r="L31" s="226"/>
      <c r="M31" s="226"/>
      <c r="N31" s="226"/>
      <c r="O31" s="226"/>
    </row>
    <row r="32" spans="2:15" ht="27" customHeight="1">
      <c r="B32" s="226"/>
      <c r="C32" s="226"/>
      <c r="D32" s="226"/>
      <c r="E32" s="226"/>
      <c r="F32" s="226"/>
      <c r="G32" s="226"/>
      <c r="H32" s="226"/>
      <c r="I32" s="226"/>
      <c r="J32" s="226"/>
      <c r="K32" s="226"/>
      <c r="L32" s="226"/>
      <c r="M32" s="226"/>
      <c r="N32" s="226"/>
      <c r="O32" s="226"/>
    </row>
    <row r="33" spans="2:15" ht="27" customHeight="1">
      <c r="B33" s="226"/>
      <c r="C33" s="226"/>
      <c r="D33" s="226"/>
      <c r="E33" s="226"/>
      <c r="F33" s="226"/>
      <c r="G33" s="226"/>
      <c r="H33" s="226"/>
      <c r="I33" s="226"/>
      <c r="J33" s="226"/>
      <c r="K33" s="226"/>
      <c r="L33" s="226"/>
      <c r="M33" s="226"/>
      <c r="N33" s="226"/>
      <c r="O33" s="226"/>
    </row>
    <row r="34" spans="2:15" ht="15" customHeight="1">
      <c r="B34" s="220" t="s">
        <v>208</v>
      </c>
      <c r="C34" s="220"/>
      <c r="D34" s="220"/>
      <c r="E34" s="220"/>
      <c r="F34" s="220"/>
      <c r="G34" s="220"/>
      <c r="H34" s="220"/>
      <c r="I34" s="220"/>
      <c r="J34" s="220"/>
      <c r="K34" s="220"/>
      <c r="L34" s="220"/>
      <c r="M34" s="220"/>
      <c r="N34" s="220"/>
      <c r="O34" s="220"/>
    </row>
    <row r="35" spans="2:15" ht="65.25" customHeight="1">
      <c r="B35" s="353" t="s">
        <v>289</v>
      </c>
      <c r="C35" s="354"/>
      <c r="D35" s="354"/>
      <c r="E35" s="354"/>
      <c r="F35" s="354"/>
      <c r="G35" s="354"/>
      <c r="H35" s="354"/>
      <c r="I35" s="354"/>
      <c r="J35" s="354"/>
      <c r="K35" s="354"/>
      <c r="L35" s="354"/>
      <c r="M35" s="354"/>
      <c r="N35" s="354"/>
      <c r="O35" s="355"/>
    </row>
  </sheetData>
  <sheetProtection pivotTables="0"/>
  <mergeCells count="35">
    <mergeCell ref="B35:O35"/>
    <mergeCell ref="B1:C3"/>
    <mergeCell ref="B15:O15"/>
    <mergeCell ref="B21:O21"/>
    <mergeCell ref="B22:O33"/>
    <mergeCell ref="B34:O34"/>
    <mergeCell ref="K4:O4"/>
    <mergeCell ref="B5:C5"/>
    <mergeCell ref="D5:G5"/>
    <mergeCell ref="H5:I5"/>
    <mergeCell ref="J5:N5"/>
    <mergeCell ref="B7:D7"/>
    <mergeCell ref="E7:O7"/>
    <mergeCell ref="B8:D8"/>
    <mergeCell ref="E8:O8"/>
    <mergeCell ref="B14:O14"/>
    <mergeCell ref="AC1:AD1"/>
    <mergeCell ref="AE1:AG1"/>
    <mergeCell ref="D2:K3"/>
    <mergeCell ref="T2:AB3"/>
    <mergeCell ref="AC2:AD2"/>
    <mergeCell ref="AE2:AG2"/>
    <mergeCell ref="AC3:AD3"/>
    <mergeCell ref="D1:K1"/>
    <mergeCell ref="R1:S3"/>
    <mergeCell ref="T1:AB1"/>
    <mergeCell ref="L1:O3"/>
    <mergeCell ref="AE3:AG3"/>
    <mergeCell ref="B9:D9"/>
    <mergeCell ref="E9:O9"/>
    <mergeCell ref="B12:O12"/>
    <mergeCell ref="B13:O13"/>
    <mergeCell ref="B11:O11"/>
    <mergeCell ref="E10:O10"/>
    <mergeCell ref="B10:D10"/>
  </mergeCells>
  <phoneticPr fontId="37" type="noConversion"/>
  <pageMargins left="0.7" right="0.7" top="0.75" bottom="0.75" header="0.3" footer="0.3"/>
  <pageSetup orientation="portrait"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List!$G$2:$G$17</xm:f>
          </x14:formula1>
          <xm:sqref>D5:G5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1:AG35"/>
  <sheetViews>
    <sheetView topLeftCell="A19" zoomScaleNormal="100" workbookViewId="0">
      <selection activeCell="Q20" sqref="Q20"/>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110</v>
      </c>
      <c r="E5" s="351"/>
      <c r="F5" s="351"/>
      <c r="G5" s="351"/>
      <c r="H5" s="287" t="s">
        <v>1</v>
      </c>
      <c r="I5" s="287"/>
      <c r="J5" s="289" t="s">
        <v>141</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229</v>
      </c>
      <c r="F7" s="277"/>
      <c r="G7" s="277"/>
      <c r="H7" s="277"/>
      <c r="I7" s="277"/>
      <c r="J7" s="277"/>
      <c r="K7" s="277"/>
      <c r="L7" s="277"/>
      <c r="M7" s="277"/>
      <c r="N7" s="277"/>
      <c r="O7" s="278"/>
      <c r="Q7" s="2"/>
    </row>
    <row r="8" spans="2:33" ht="20.25" customHeight="1" thickBot="1">
      <c r="B8" s="333" t="s">
        <v>144</v>
      </c>
      <c r="C8" s="334"/>
      <c r="D8" s="335"/>
      <c r="E8" s="277" t="s">
        <v>145</v>
      </c>
      <c r="F8" s="277"/>
      <c r="G8" s="277"/>
      <c r="H8" s="277"/>
      <c r="I8" s="277"/>
      <c r="J8" s="277"/>
      <c r="K8" s="277"/>
      <c r="L8" s="277"/>
      <c r="M8" s="277"/>
      <c r="N8" s="277"/>
      <c r="O8" s="278"/>
    </row>
    <row r="9" spans="2:33" ht="20.25" customHeight="1" thickBot="1">
      <c r="B9" s="333" t="s">
        <v>4</v>
      </c>
      <c r="C9" s="334"/>
      <c r="D9" s="335"/>
      <c r="E9" s="356" t="s">
        <v>146</v>
      </c>
      <c r="F9" s="356"/>
      <c r="G9" s="356"/>
      <c r="H9" s="356"/>
      <c r="I9" s="356"/>
      <c r="J9" s="356"/>
      <c r="K9" s="356"/>
      <c r="L9" s="356"/>
      <c r="M9" s="356"/>
      <c r="N9" s="356"/>
      <c r="O9" s="357"/>
    </row>
    <row r="10" spans="2:33" ht="20.25" customHeight="1" thickBot="1">
      <c r="B10" s="333" t="s">
        <v>143</v>
      </c>
      <c r="C10" s="334"/>
      <c r="D10" s="335"/>
      <c r="E10" s="356" t="s">
        <v>147</v>
      </c>
      <c r="F10" s="356"/>
      <c r="G10" s="356"/>
      <c r="H10" s="356"/>
      <c r="I10" s="356"/>
      <c r="J10" s="356"/>
      <c r="K10" s="356"/>
      <c r="L10" s="356"/>
      <c r="M10" s="356"/>
      <c r="N10" s="356"/>
      <c r="O10" s="357"/>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row>
    <row r="14" spans="2:33" ht="18.75" customHeight="1">
      <c r="B14" s="244" t="s">
        <v>142</v>
      </c>
      <c r="C14" s="245"/>
      <c r="D14" s="245"/>
      <c r="E14" s="245"/>
      <c r="F14" s="245"/>
      <c r="G14" s="245"/>
      <c r="H14" s="245"/>
      <c r="I14" s="245"/>
      <c r="J14" s="245"/>
      <c r="K14" s="245"/>
      <c r="L14" s="245"/>
      <c r="M14" s="245"/>
      <c r="N14" s="245"/>
      <c r="O14" s="246"/>
    </row>
    <row r="15" spans="2:33" ht="18.75" customHeight="1">
      <c r="B15" s="219" t="s">
        <v>13</v>
      </c>
      <c r="C15" s="220"/>
      <c r="D15" s="220"/>
      <c r="E15" s="220"/>
      <c r="F15" s="220"/>
      <c r="G15" s="220"/>
      <c r="H15" s="220"/>
      <c r="I15" s="220"/>
      <c r="J15" s="220"/>
      <c r="K15" s="220"/>
      <c r="L15" s="220"/>
      <c r="M15" s="220"/>
      <c r="N15" s="220"/>
      <c r="O15" s="221"/>
    </row>
    <row r="16" spans="2:33"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7" t="s">
        <v>149</v>
      </c>
      <c r="C17" s="27">
        <v>1</v>
      </c>
      <c r="D17" s="27">
        <v>5</v>
      </c>
      <c r="E17" s="27">
        <v>0</v>
      </c>
      <c r="F17" s="27">
        <v>1</v>
      </c>
      <c r="G17" s="27">
        <v>0</v>
      </c>
      <c r="H17" s="27">
        <v>1</v>
      </c>
      <c r="I17" s="27">
        <v>1</v>
      </c>
      <c r="J17" s="27">
        <v>4</v>
      </c>
      <c r="K17" s="27"/>
      <c r="L17" s="27"/>
      <c r="M17" s="27"/>
      <c r="N17" s="27"/>
      <c r="O17" s="65"/>
    </row>
    <row r="18" spans="2:15" ht="24.75" customHeight="1">
      <c r="B18" s="97" t="s">
        <v>150</v>
      </c>
      <c r="C18" s="48">
        <v>57</v>
      </c>
      <c r="D18" s="48">
        <v>51</v>
      </c>
      <c r="E18" s="48">
        <v>48</v>
      </c>
      <c r="F18" s="48">
        <v>50</v>
      </c>
      <c r="G18" s="48">
        <v>47</v>
      </c>
      <c r="H18" s="48">
        <v>51</v>
      </c>
      <c r="I18" s="48">
        <v>81</v>
      </c>
      <c r="J18" s="48">
        <v>82</v>
      </c>
      <c r="K18" s="48"/>
      <c r="L18" s="48"/>
      <c r="M18" s="48"/>
      <c r="N18" s="48"/>
      <c r="O18" s="13"/>
    </row>
    <row r="19" spans="2:15" ht="21" customHeight="1">
      <c r="B19" s="96" t="s">
        <v>292</v>
      </c>
      <c r="C19" s="95">
        <f t="shared" ref="C19:G19" si="0">C17/C18*100</f>
        <v>1.7543859649122806</v>
      </c>
      <c r="D19" s="95">
        <f t="shared" si="0"/>
        <v>9.8039215686274517</v>
      </c>
      <c r="E19" s="95">
        <f t="shared" si="0"/>
        <v>0</v>
      </c>
      <c r="F19" s="95">
        <f t="shared" si="0"/>
        <v>2</v>
      </c>
      <c r="G19" s="95">
        <f t="shared" si="0"/>
        <v>0</v>
      </c>
      <c r="H19" s="95">
        <f>H17/H18*100</f>
        <v>1.9607843137254901</v>
      </c>
      <c r="I19" s="95">
        <f>I17/I18*100</f>
        <v>1.2345679012345678</v>
      </c>
      <c r="J19" s="95">
        <f t="shared" ref="J19:N19" si="1">J17/J18*100</f>
        <v>4.8780487804878048</v>
      </c>
      <c r="K19" s="95" t="e">
        <f t="shared" si="1"/>
        <v>#DIV/0!</v>
      </c>
      <c r="L19" s="95" t="e">
        <f t="shared" si="1"/>
        <v>#DIV/0!</v>
      </c>
      <c r="M19" s="95" t="e">
        <f t="shared" si="1"/>
        <v>#DIV/0!</v>
      </c>
      <c r="N19" s="95" t="e">
        <f t="shared" si="1"/>
        <v>#DIV/0!</v>
      </c>
      <c r="O19" s="95"/>
    </row>
    <row r="20" spans="2:15" ht="21" customHeight="1">
      <c r="B20" s="197" t="s">
        <v>262</v>
      </c>
      <c r="C20" s="198">
        <v>5.9</v>
      </c>
      <c r="D20" s="198">
        <v>3.1</v>
      </c>
      <c r="E20" s="198">
        <v>3.6</v>
      </c>
      <c r="F20" s="198">
        <v>1.8</v>
      </c>
      <c r="G20" s="198">
        <v>2</v>
      </c>
      <c r="H20" s="198">
        <v>3.2</v>
      </c>
      <c r="I20" s="198">
        <v>3.3</v>
      </c>
      <c r="J20" s="198">
        <v>1.1000000000000001</v>
      </c>
      <c r="K20" s="198">
        <v>3</v>
      </c>
      <c r="L20" s="198">
        <v>1.3</v>
      </c>
      <c r="M20" s="198">
        <v>8.5</v>
      </c>
      <c r="N20" s="198">
        <v>0</v>
      </c>
      <c r="O20" s="199"/>
    </row>
    <row r="21" spans="2:15" ht="18" customHeight="1" thickBot="1">
      <c r="B21" s="222" t="s">
        <v>28</v>
      </c>
      <c r="C21" s="223"/>
      <c r="D21" s="223"/>
      <c r="E21" s="223"/>
      <c r="F21" s="223"/>
      <c r="G21" s="223"/>
      <c r="H21" s="223"/>
      <c r="I21" s="223"/>
      <c r="J21" s="223"/>
      <c r="K21" s="223"/>
      <c r="L21" s="223"/>
      <c r="M21" s="223"/>
      <c r="N21" s="223"/>
      <c r="O21" s="224"/>
    </row>
    <row r="22" spans="2:15" s="2" customFormat="1" ht="27" customHeight="1">
      <c r="B22" s="225"/>
      <c r="C22" s="225"/>
      <c r="D22" s="225"/>
      <c r="E22" s="225"/>
      <c r="F22" s="225"/>
      <c r="G22" s="225"/>
      <c r="H22" s="225"/>
      <c r="I22" s="225"/>
      <c r="J22" s="225"/>
      <c r="K22" s="225"/>
      <c r="L22" s="225"/>
      <c r="M22" s="225"/>
      <c r="N22" s="225"/>
      <c r="O22" s="225"/>
    </row>
    <row r="23" spans="2:15" s="2" customFormat="1" ht="27" customHeight="1">
      <c r="B23" s="226"/>
      <c r="C23" s="226"/>
      <c r="D23" s="226"/>
      <c r="E23" s="226"/>
      <c r="F23" s="226"/>
      <c r="G23" s="226"/>
      <c r="H23" s="226"/>
      <c r="I23" s="226"/>
      <c r="J23" s="226"/>
      <c r="K23" s="226"/>
      <c r="L23" s="226"/>
      <c r="M23" s="226"/>
      <c r="N23" s="226"/>
      <c r="O23" s="226"/>
    </row>
    <row r="24" spans="2:15" s="2" customFormat="1" ht="27" customHeight="1">
      <c r="B24" s="226"/>
      <c r="C24" s="226"/>
      <c r="D24" s="226"/>
      <c r="E24" s="226"/>
      <c r="F24" s="226"/>
      <c r="G24" s="226"/>
      <c r="H24" s="226"/>
      <c r="I24" s="226"/>
      <c r="J24" s="226"/>
      <c r="K24" s="226"/>
      <c r="L24" s="226"/>
      <c r="M24" s="226"/>
      <c r="N24" s="226"/>
      <c r="O24" s="226"/>
    </row>
    <row r="25" spans="2:15" s="2" customFormat="1" ht="27" customHeight="1">
      <c r="B25" s="226"/>
      <c r="C25" s="226"/>
      <c r="D25" s="226"/>
      <c r="E25" s="226"/>
      <c r="F25" s="226"/>
      <c r="G25" s="226"/>
      <c r="H25" s="226"/>
      <c r="I25" s="226"/>
      <c r="J25" s="226"/>
      <c r="K25" s="226"/>
      <c r="L25" s="226"/>
      <c r="M25" s="226"/>
      <c r="N25" s="226"/>
      <c r="O25" s="226"/>
    </row>
    <row r="26" spans="2:15" s="2" customFormat="1" ht="27" customHeight="1">
      <c r="B26" s="226"/>
      <c r="C26" s="226"/>
      <c r="D26" s="226"/>
      <c r="E26" s="226"/>
      <c r="F26" s="226"/>
      <c r="G26" s="226"/>
      <c r="H26" s="226"/>
      <c r="I26" s="226"/>
      <c r="J26" s="226"/>
      <c r="K26" s="226"/>
      <c r="L26" s="226"/>
      <c r="M26" s="226"/>
      <c r="N26" s="226"/>
      <c r="O26" s="226"/>
    </row>
    <row r="27" spans="2:15" ht="27" customHeight="1">
      <c r="B27" s="226"/>
      <c r="C27" s="226"/>
      <c r="D27" s="226"/>
      <c r="E27" s="226"/>
      <c r="F27" s="226"/>
      <c r="G27" s="226"/>
      <c r="H27" s="226"/>
      <c r="I27" s="226"/>
      <c r="J27" s="226"/>
      <c r="K27" s="226"/>
      <c r="L27" s="226"/>
      <c r="M27" s="226"/>
      <c r="N27" s="226"/>
      <c r="O27" s="226"/>
    </row>
    <row r="28" spans="2:15" ht="27" customHeight="1">
      <c r="B28" s="226"/>
      <c r="C28" s="226"/>
      <c r="D28" s="226"/>
      <c r="E28" s="226"/>
      <c r="F28" s="226"/>
      <c r="G28" s="226"/>
      <c r="H28" s="226"/>
      <c r="I28" s="226"/>
      <c r="J28" s="226"/>
      <c r="K28" s="226"/>
      <c r="L28" s="226"/>
      <c r="M28" s="226"/>
      <c r="N28" s="226"/>
      <c r="O28" s="226"/>
    </row>
    <row r="29" spans="2:15" ht="27" customHeight="1">
      <c r="B29" s="226"/>
      <c r="C29" s="226"/>
      <c r="D29" s="226"/>
      <c r="E29" s="226"/>
      <c r="F29" s="226"/>
      <c r="G29" s="226"/>
      <c r="H29" s="226"/>
      <c r="I29" s="226"/>
      <c r="J29" s="226"/>
      <c r="K29" s="226"/>
      <c r="L29" s="226"/>
      <c r="M29" s="226"/>
      <c r="N29" s="226"/>
      <c r="O29" s="226"/>
    </row>
    <row r="30" spans="2:15" ht="27" customHeight="1">
      <c r="B30" s="226"/>
      <c r="C30" s="226"/>
      <c r="D30" s="226"/>
      <c r="E30" s="226"/>
      <c r="F30" s="226"/>
      <c r="G30" s="226"/>
      <c r="H30" s="226"/>
      <c r="I30" s="226"/>
      <c r="J30" s="226"/>
      <c r="K30" s="226"/>
      <c r="L30" s="226"/>
      <c r="M30" s="226"/>
      <c r="N30" s="226"/>
      <c r="O30" s="226"/>
    </row>
    <row r="31" spans="2:15" ht="27" customHeight="1">
      <c r="B31" s="226"/>
      <c r="C31" s="226"/>
      <c r="D31" s="226"/>
      <c r="E31" s="226"/>
      <c r="F31" s="226"/>
      <c r="G31" s="226"/>
      <c r="H31" s="226"/>
      <c r="I31" s="226"/>
      <c r="J31" s="226"/>
      <c r="K31" s="226"/>
      <c r="L31" s="226"/>
      <c r="M31" s="226"/>
      <c r="N31" s="226"/>
      <c r="O31" s="226"/>
    </row>
    <row r="32" spans="2:15" ht="27" customHeight="1">
      <c r="B32" s="226"/>
      <c r="C32" s="226"/>
      <c r="D32" s="226"/>
      <c r="E32" s="226"/>
      <c r="F32" s="226"/>
      <c r="G32" s="226"/>
      <c r="H32" s="226"/>
      <c r="I32" s="226"/>
      <c r="J32" s="226"/>
      <c r="K32" s="226"/>
      <c r="L32" s="226"/>
      <c r="M32" s="226"/>
      <c r="N32" s="226"/>
      <c r="O32" s="226"/>
    </row>
    <row r="33" spans="2:15" ht="27" customHeight="1">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100.5" customHeight="1">
      <c r="B35" s="386" t="s">
        <v>284</v>
      </c>
      <c r="C35" s="387"/>
      <c r="D35" s="387"/>
      <c r="E35" s="387"/>
      <c r="F35" s="387"/>
      <c r="G35" s="387"/>
      <c r="H35" s="387"/>
      <c r="I35" s="387"/>
      <c r="J35" s="387"/>
      <c r="K35" s="387"/>
      <c r="L35" s="387"/>
      <c r="M35" s="387"/>
      <c r="N35" s="387"/>
      <c r="O35" s="388"/>
    </row>
  </sheetData>
  <sheetProtection pivotTables="0"/>
  <mergeCells count="35">
    <mergeCell ref="K4:O4"/>
    <mergeCell ref="B1:C3"/>
    <mergeCell ref="D1:K1"/>
    <mergeCell ref="L1:O3"/>
    <mergeCell ref="R1:S3"/>
    <mergeCell ref="T1:AB1"/>
    <mergeCell ref="AE1:AG1"/>
    <mergeCell ref="D2:K3"/>
    <mergeCell ref="T2:AB3"/>
    <mergeCell ref="AC2:AD2"/>
    <mergeCell ref="AE2:AG2"/>
    <mergeCell ref="AC3:AD3"/>
    <mergeCell ref="AE3:AG3"/>
    <mergeCell ref="AC1:AD1"/>
    <mergeCell ref="B5:C5"/>
    <mergeCell ref="D5:G5"/>
    <mergeCell ref="H5:I5"/>
    <mergeCell ref="J5:N5"/>
    <mergeCell ref="B11:O11"/>
    <mergeCell ref="B7:D7"/>
    <mergeCell ref="E7:O7"/>
    <mergeCell ref="B12:O12"/>
    <mergeCell ref="B13:O13"/>
    <mergeCell ref="B14:O14"/>
    <mergeCell ref="B8:D8"/>
    <mergeCell ref="E8:O8"/>
    <mergeCell ref="B9:D9"/>
    <mergeCell ref="E9:O9"/>
    <mergeCell ref="B10:D10"/>
    <mergeCell ref="E10:O10"/>
    <mergeCell ref="B15:O15"/>
    <mergeCell ref="B21:O21"/>
    <mergeCell ref="B22:O33"/>
    <mergeCell ref="B34:O34"/>
    <mergeCell ref="B35:O35"/>
  </mergeCells>
  <pageMargins left="0.7" right="0.7" top="0.75" bottom="0.75" header="0.3" footer="0.3"/>
  <pageSetup paperSize="9"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List!$G$2:$G$17</xm:f>
          </x14:formula1>
          <xm:sqref>D5:G5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AG35"/>
  <sheetViews>
    <sheetView topLeftCell="A22" zoomScaleNormal="100" workbookViewId="0">
      <selection activeCell="B21" sqref="B21:O21"/>
    </sheetView>
  </sheetViews>
  <sheetFormatPr baseColWidth="10" defaultColWidth="11.42578125" defaultRowHeight="12"/>
  <cols>
    <col min="1" max="1" width="4.140625" style="1" customWidth="1"/>
    <col min="2" max="2" width="20.14062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17" width="11.42578125" style="1" bestFit="1" customWidth="1"/>
    <col min="18"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110</v>
      </c>
      <c r="E5" s="351"/>
      <c r="F5" s="351"/>
      <c r="G5" s="351"/>
      <c r="H5" s="287" t="s">
        <v>1</v>
      </c>
      <c r="I5" s="287"/>
      <c r="J5" s="289" t="s">
        <v>141</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152</v>
      </c>
      <c r="F7" s="277"/>
      <c r="G7" s="277"/>
      <c r="H7" s="277"/>
      <c r="I7" s="277"/>
      <c r="J7" s="277"/>
      <c r="K7" s="277"/>
      <c r="L7" s="277"/>
      <c r="M7" s="277"/>
      <c r="N7" s="277"/>
      <c r="O7" s="278"/>
      <c r="Q7" s="2"/>
    </row>
    <row r="8" spans="2:33" ht="20.25" customHeight="1" thickBot="1">
      <c r="B8" s="333" t="s">
        <v>144</v>
      </c>
      <c r="C8" s="334"/>
      <c r="D8" s="335"/>
      <c r="E8" s="277" t="s">
        <v>153</v>
      </c>
      <c r="F8" s="277"/>
      <c r="G8" s="277"/>
      <c r="H8" s="277"/>
      <c r="I8" s="277"/>
      <c r="J8" s="277"/>
      <c r="K8" s="277"/>
      <c r="L8" s="277"/>
      <c r="M8" s="277"/>
      <c r="N8" s="277"/>
      <c r="O8" s="278"/>
    </row>
    <row r="9" spans="2:33" ht="20.25" customHeight="1" thickBot="1">
      <c r="B9" s="333" t="s">
        <v>4</v>
      </c>
      <c r="C9" s="334"/>
      <c r="D9" s="335"/>
      <c r="E9" s="356" t="s">
        <v>154</v>
      </c>
      <c r="F9" s="356"/>
      <c r="G9" s="356"/>
      <c r="H9" s="356"/>
      <c r="I9" s="356"/>
      <c r="J9" s="356"/>
      <c r="K9" s="356"/>
      <c r="L9" s="356"/>
      <c r="M9" s="356"/>
      <c r="N9" s="356"/>
      <c r="O9" s="357"/>
      <c r="R9" s="1" t="s">
        <v>263</v>
      </c>
    </row>
    <row r="10" spans="2:33" ht="20.25" customHeight="1" thickBot="1">
      <c r="B10" s="333" t="s">
        <v>143</v>
      </c>
      <c r="C10" s="334"/>
      <c r="D10" s="335"/>
      <c r="E10" s="356" t="s">
        <v>155</v>
      </c>
      <c r="F10" s="356"/>
      <c r="G10" s="356"/>
      <c r="H10" s="356"/>
      <c r="I10" s="356"/>
      <c r="J10" s="356"/>
      <c r="K10" s="356"/>
      <c r="L10" s="356"/>
      <c r="M10" s="356"/>
      <c r="N10" s="356"/>
      <c r="O10" s="357"/>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c r="R13" s="98"/>
    </row>
    <row r="14" spans="2:33" ht="18.75" customHeight="1">
      <c r="B14" s="244" t="s">
        <v>142</v>
      </c>
      <c r="C14" s="245"/>
      <c r="D14" s="245"/>
      <c r="E14" s="245"/>
      <c r="F14" s="245"/>
      <c r="G14" s="245"/>
      <c r="H14" s="245"/>
      <c r="I14" s="245"/>
      <c r="J14" s="245"/>
      <c r="K14" s="245"/>
      <c r="L14" s="245"/>
      <c r="M14" s="245"/>
      <c r="N14" s="245"/>
      <c r="O14" s="246"/>
      <c r="R14" s="98"/>
    </row>
    <row r="15" spans="2:33" ht="18.75" customHeight="1">
      <c r="B15" s="219" t="s">
        <v>13</v>
      </c>
      <c r="C15" s="220"/>
      <c r="D15" s="220"/>
      <c r="E15" s="220"/>
      <c r="F15" s="220"/>
      <c r="G15" s="220"/>
      <c r="H15" s="220"/>
      <c r="I15" s="220"/>
      <c r="J15" s="220"/>
      <c r="K15" s="220"/>
      <c r="L15" s="220"/>
      <c r="M15" s="220"/>
      <c r="N15" s="220"/>
      <c r="O15" s="221"/>
      <c r="R15" s="98"/>
      <c r="X15" s="1">
        <v>3</v>
      </c>
    </row>
    <row r="16" spans="2:33" s="4" customFormat="1" ht="37.5" customHeight="1">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c r="Q16" s="156"/>
      <c r="R16" s="156"/>
      <c r="S16" s="156"/>
      <c r="T16" s="156"/>
      <c r="U16" s="156"/>
    </row>
    <row r="17" spans="2:21" s="4" customFormat="1" ht="37.5" customHeight="1">
      <c r="B17" s="97" t="s">
        <v>156</v>
      </c>
      <c r="C17" s="27">
        <v>3</v>
      </c>
      <c r="D17" s="27">
        <v>41</v>
      </c>
      <c r="E17" s="27">
        <v>0</v>
      </c>
      <c r="F17" s="27">
        <v>20</v>
      </c>
      <c r="G17" s="27">
        <v>0</v>
      </c>
      <c r="H17" s="27">
        <v>42</v>
      </c>
      <c r="I17" s="27">
        <v>37</v>
      </c>
      <c r="J17" s="27">
        <v>29</v>
      </c>
      <c r="K17" s="27"/>
      <c r="L17" s="27"/>
      <c r="M17" s="27"/>
      <c r="N17" s="27"/>
      <c r="O17" s="65"/>
      <c r="Q17" s="156"/>
      <c r="R17" s="156"/>
      <c r="S17" s="156"/>
      <c r="T17" s="156"/>
      <c r="U17" s="156"/>
    </row>
    <row r="18" spans="2:21" ht="27" customHeight="1">
      <c r="B18" s="97" t="s">
        <v>157</v>
      </c>
      <c r="C18" s="48">
        <v>70</v>
      </c>
      <c r="D18" s="48">
        <v>51</v>
      </c>
      <c r="E18" s="48">
        <v>71</v>
      </c>
      <c r="F18" s="48">
        <v>81</v>
      </c>
      <c r="G18" s="48">
        <v>75</v>
      </c>
      <c r="H18" s="48">
        <v>80</v>
      </c>
      <c r="I18" s="48">
        <v>99</v>
      </c>
      <c r="J18" s="48">
        <v>99</v>
      </c>
      <c r="K18" s="48"/>
      <c r="L18" s="48"/>
      <c r="M18" s="48"/>
      <c r="N18" s="48"/>
      <c r="O18" s="13"/>
      <c r="Q18" s="89"/>
      <c r="R18" s="156"/>
      <c r="S18" s="89"/>
      <c r="T18" s="89"/>
      <c r="U18" s="89"/>
    </row>
    <row r="19" spans="2:21" ht="22.5" customHeight="1">
      <c r="B19" s="96" t="s">
        <v>293</v>
      </c>
      <c r="C19" s="95">
        <f t="shared" ref="C19:J19" si="0">C17/C18*100</f>
        <v>4.2857142857142856</v>
      </c>
      <c r="D19" s="95">
        <f t="shared" si="0"/>
        <v>80.392156862745097</v>
      </c>
      <c r="E19" s="95">
        <f t="shared" si="0"/>
        <v>0</v>
      </c>
      <c r="F19" s="95">
        <f t="shared" si="0"/>
        <v>24.691358024691358</v>
      </c>
      <c r="G19" s="95">
        <f t="shared" si="0"/>
        <v>0</v>
      </c>
      <c r="H19" s="95">
        <f t="shared" si="0"/>
        <v>52.5</v>
      </c>
      <c r="I19" s="95">
        <f t="shared" si="0"/>
        <v>37.373737373737377</v>
      </c>
      <c r="J19" s="95">
        <f t="shared" si="0"/>
        <v>29.292929292929294</v>
      </c>
      <c r="K19" s="95"/>
      <c r="L19" s="95"/>
      <c r="M19" s="95"/>
      <c r="N19" s="95"/>
      <c r="O19" s="95"/>
      <c r="Q19" s="89"/>
      <c r="R19" s="89"/>
      <c r="S19" s="89"/>
      <c r="T19" s="89"/>
      <c r="U19" s="89"/>
    </row>
    <row r="20" spans="2:21" ht="21" customHeight="1">
      <c r="B20" s="197" t="s">
        <v>264</v>
      </c>
      <c r="C20" s="198">
        <v>10.3</v>
      </c>
      <c r="D20" s="198">
        <v>10.8</v>
      </c>
      <c r="E20" s="198">
        <v>9</v>
      </c>
      <c r="F20" s="198">
        <v>6</v>
      </c>
      <c r="G20" s="198">
        <v>7.9</v>
      </c>
      <c r="H20" s="198">
        <v>15.1</v>
      </c>
      <c r="I20" s="198">
        <v>46.7</v>
      </c>
      <c r="J20" s="198">
        <v>2.9</v>
      </c>
      <c r="K20" s="198">
        <v>1.4</v>
      </c>
      <c r="L20" s="198">
        <v>9.1999999999999993</v>
      </c>
      <c r="M20" s="198">
        <v>6</v>
      </c>
      <c r="N20" s="198">
        <v>34</v>
      </c>
      <c r="O20" s="199"/>
      <c r="Q20" s="89"/>
      <c r="R20" s="89"/>
      <c r="S20" s="89"/>
      <c r="T20" s="89"/>
      <c r="U20" s="89"/>
    </row>
    <row r="21" spans="2:21" ht="18" customHeight="1" thickBot="1">
      <c r="B21" s="222" t="s">
        <v>28</v>
      </c>
      <c r="C21" s="223"/>
      <c r="D21" s="223"/>
      <c r="E21" s="223"/>
      <c r="F21" s="223"/>
      <c r="G21" s="223"/>
      <c r="H21" s="223"/>
      <c r="I21" s="223"/>
      <c r="J21" s="223"/>
      <c r="K21" s="223"/>
      <c r="L21" s="223"/>
      <c r="M21" s="223"/>
      <c r="N21" s="223"/>
      <c r="O21" s="224"/>
      <c r="Q21" s="89"/>
      <c r="R21" s="89"/>
      <c r="S21" s="89"/>
      <c r="T21" s="89"/>
      <c r="U21" s="89"/>
    </row>
    <row r="22" spans="2:21" s="2" customFormat="1" ht="27" customHeight="1">
      <c r="B22" s="225"/>
      <c r="C22" s="225"/>
      <c r="D22" s="225"/>
      <c r="E22" s="225"/>
      <c r="F22" s="225"/>
      <c r="G22" s="225"/>
      <c r="H22" s="225"/>
      <c r="I22" s="225"/>
      <c r="J22" s="225"/>
      <c r="K22" s="225"/>
      <c r="L22" s="225"/>
      <c r="M22" s="225"/>
      <c r="N22" s="225"/>
      <c r="O22" s="225"/>
      <c r="Q22" s="158"/>
      <c r="R22" s="158"/>
      <c r="S22" s="158"/>
      <c r="T22" s="158"/>
      <c r="U22" s="158"/>
    </row>
    <row r="23" spans="2:21" s="2" customFormat="1" ht="27" customHeight="1">
      <c r="B23" s="226"/>
      <c r="C23" s="226"/>
      <c r="D23" s="226"/>
      <c r="E23" s="226"/>
      <c r="F23" s="226"/>
      <c r="G23" s="226"/>
      <c r="H23" s="226"/>
      <c r="I23" s="226"/>
      <c r="J23" s="226"/>
      <c r="K23" s="226"/>
      <c r="L23" s="226"/>
      <c r="M23" s="226"/>
      <c r="N23" s="226"/>
      <c r="O23" s="226"/>
      <c r="Q23" s="156"/>
      <c r="R23" s="156"/>
      <c r="S23" s="156"/>
      <c r="T23" s="158"/>
      <c r="U23" s="158"/>
    </row>
    <row r="24" spans="2:21" s="2" customFormat="1" ht="27" customHeight="1">
      <c r="B24" s="226"/>
      <c r="C24" s="226"/>
      <c r="D24" s="226"/>
      <c r="E24" s="226"/>
      <c r="F24" s="226"/>
      <c r="G24" s="226"/>
      <c r="H24" s="226"/>
      <c r="I24" s="226"/>
      <c r="J24" s="226"/>
      <c r="K24" s="226"/>
      <c r="L24" s="226"/>
      <c r="M24" s="226"/>
      <c r="N24" s="226"/>
      <c r="O24" s="226"/>
      <c r="Q24" s="89"/>
      <c r="R24" s="89"/>
      <c r="S24" s="89"/>
      <c r="T24" s="158"/>
      <c r="U24" s="158"/>
    </row>
    <row r="25" spans="2:21" s="2" customFormat="1" ht="27" customHeight="1">
      <c r="B25" s="226"/>
      <c r="C25" s="226"/>
      <c r="D25" s="226"/>
      <c r="E25" s="226"/>
      <c r="F25" s="226"/>
      <c r="G25" s="226"/>
      <c r="H25" s="226"/>
      <c r="I25" s="226"/>
      <c r="J25" s="226"/>
      <c r="K25" s="226"/>
      <c r="L25" s="226"/>
      <c r="M25" s="226"/>
      <c r="N25" s="226"/>
      <c r="O25" s="226"/>
      <c r="Q25" s="89"/>
      <c r="R25" s="89"/>
      <c r="S25" s="89"/>
      <c r="T25" s="158"/>
      <c r="U25" s="158"/>
    </row>
    <row r="26" spans="2:21" s="2" customFormat="1" ht="27" customHeight="1">
      <c r="B26" s="226"/>
      <c r="C26" s="226"/>
      <c r="D26" s="226"/>
      <c r="E26" s="226"/>
      <c r="F26" s="226"/>
      <c r="G26" s="226"/>
      <c r="H26" s="226"/>
      <c r="I26" s="226"/>
      <c r="J26" s="226"/>
      <c r="K26" s="226"/>
      <c r="L26" s="226"/>
      <c r="M26" s="226"/>
      <c r="N26" s="226"/>
      <c r="O26" s="226"/>
      <c r="Q26" s="89"/>
      <c r="R26" s="89"/>
      <c r="S26" s="89"/>
      <c r="T26" s="158"/>
      <c r="U26" s="158"/>
    </row>
    <row r="27" spans="2:21" ht="27" customHeight="1">
      <c r="B27" s="226"/>
      <c r="C27" s="226"/>
      <c r="D27" s="226"/>
      <c r="E27" s="226"/>
      <c r="F27" s="226"/>
      <c r="G27" s="226"/>
      <c r="H27" s="226"/>
      <c r="I27" s="226"/>
      <c r="J27" s="226"/>
      <c r="K27" s="226"/>
      <c r="L27" s="226"/>
      <c r="M27" s="226"/>
      <c r="N27" s="226"/>
      <c r="O27" s="226"/>
      <c r="Q27" s="89"/>
      <c r="R27" s="89"/>
      <c r="S27" s="89"/>
      <c r="T27" s="89"/>
      <c r="U27" s="89"/>
    </row>
    <row r="28" spans="2:21" ht="27" customHeight="1">
      <c r="B28" s="226"/>
      <c r="C28" s="226"/>
      <c r="D28" s="226"/>
      <c r="E28" s="226"/>
      <c r="F28" s="226"/>
      <c r="G28" s="226"/>
      <c r="H28" s="226"/>
      <c r="I28" s="226"/>
      <c r="J28" s="226"/>
      <c r="K28" s="226"/>
      <c r="L28" s="226"/>
      <c r="M28" s="226"/>
      <c r="N28" s="226"/>
      <c r="O28" s="226"/>
      <c r="Q28" s="89"/>
      <c r="R28" s="89"/>
      <c r="S28" s="89"/>
      <c r="T28" s="89"/>
      <c r="U28" s="89"/>
    </row>
    <row r="29" spans="2:21" ht="27" customHeight="1">
      <c r="B29" s="226"/>
      <c r="C29" s="226"/>
      <c r="D29" s="226"/>
      <c r="E29" s="226"/>
      <c r="F29" s="226"/>
      <c r="G29" s="226"/>
      <c r="H29" s="226"/>
      <c r="I29" s="226"/>
      <c r="J29" s="226"/>
      <c r="K29" s="226"/>
      <c r="L29" s="226"/>
      <c r="M29" s="226"/>
      <c r="N29" s="226"/>
      <c r="O29" s="226"/>
      <c r="Q29" s="89"/>
      <c r="R29" s="89"/>
      <c r="S29" s="89"/>
      <c r="T29" s="89"/>
      <c r="U29" s="89"/>
    </row>
    <row r="30" spans="2:21" ht="27" customHeight="1">
      <c r="B30" s="226"/>
      <c r="C30" s="226"/>
      <c r="D30" s="226"/>
      <c r="E30" s="226"/>
      <c r="F30" s="226"/>
      <c r="G30" s="226"/>
      <c r="H30" s="226"/>
      <c r="I30" s="226"/>
      <c r="J30" s="226"/>
      <c r="K30" s="226"/>
      <c r="L30" s="226"/>
      <c r="M30" s="226"/>
      <c r="N30" s="226"/>
      <c r="O30" s="226"/>
    </row>
    <row r="31" spans="2:21" ht="27" customHeight="1">
      <c r="B31" s="226"/>
      <c r="C31" s="226"/>
      <c r="D31" s="226"/>
      <c r="E31" s="226"/>
      <c r="F31" s="226"/>
      <c r="G31" s="226"/>
      <c r="H31" s="226"/>
      <c r="I31" s="226"/>
      <c r="J31" s="226"/>
      <c r="K31" s="226"/>
      <c r="L31" s="226"/>
      <c r="M31" s="226"/>
      <c r="N31" s="226"/>
      <c r="O31" s="226"/>
    </row>
    <row r="32" spans="2:21" ht="27" customHeight="1">
      <c r="B32" s="226"/>
      <c r="C32" s="226"/>
      <c r="D32" s="226"/>
      <c r="E32" s="226"/>
      <c r="F32" s="226"/>
      <c r="G32" s="226"/>
      <c r="H32" s="226"/>
      <c r="I32" s="226"/>
      <c r="J32" s="226"/>
      <c r="K32" s="226"/>
      <c r="L32" s="226"/>
      <c r="M32" s="226"/>
      <c r="N32" s="226"/>
      <c r="O32" s="226"/>
    </row>
    <row r="33" spans="2:15" ht="27" customHeight="1">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57.75" customHeight="1">
      <c r="B35" s="386" t="s">
        <v>285</v>
      </c>
      <c r="C35" s="389"/>
      <c r="D35" s="389"/>
      <c r="E35" s="389"/>
      <c r="F35" s="389"/>
      <c r="G35" s="389"/>
      <c r="H35" s="389"/>
      <c r="I35" s="389"/>
      <c r="J35" s="389"/>
      <c r="K35" s="389"/>
      <c r="L35" s="389"/>
      <c r="M35" s="389"/>
      <c r="N35" s="389"/>
      <c r="O35" s="390"/>
    </row>
  </sheetData>
  <sheetProtection pivotTables="0"/>
  <mergeCells count="35">
    <mergeCell ref="K4:O4"/>
    <mergeCell ref="B1:C3"/>
    <mergeCell ref="D1:K1"/>
    <mergeCell ref="L1:O3"/>
    <mergeCell ref="R1:S3"/>
    <mergeCell ref="T1:AB1"/>
    <mergeCell ref="AE1:AG1"/>
    <mergeCell ref="D2:K3"/>
    <mergeCell ref="T2:AB3"/>
    <mergeCell ref="AC2:AD2"/>
    <mergeCell ref="AE2:AG2"/>
    <mergeCell ref="AC3:AD3"/>
    <mergeCell ref="AE3:AG3"/>
    <mergeCell ref="AC1:AD1"/>
    <mergeCell ref="B5:C5"/>
    <mergeCell ref="D5:G5"/>
    <mergeCell ref="H5:I5"/>
    <mergeCell ref="J5:N5"/>
    <mergeCell ref="B11:O11"/>
    <mergeCell ref="B7:D7"/>
    <mergeCell ref="E7:O7"/>
    <mergeCell ref="B12:O12"/>
    <mergeCell ref="B13:O13"/>
    <mergeCell ref="B14:O14"/>
    <mergeCell ref="B8:D8"/>
    <mergeCell ref="E8:O8"/>
    <mergeCell ref="B9:D9"/>
    <mergeCell ref="E9:O9"/>
    <mergeCell ref="B10:D10"/>
    <mergeCell ref="E10:O10"/>
    <mergeCell ref="B15:O15"/>
    <mergeCell ref="B21:O21"/>
    <mergeCell ref="B22:O33"/>
    <mergeCell ref="B34:O34"/>
    <mergeCell ref="B35:O35"/>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List!$G$2:$G$17</xm:f>
          </x14:formula1>
          <xm:sqref>D5:G5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X35"/>
  <sheetViews>
    <sheetView topLeftCell="A19" zoomScaleNormal="100" workbookViewId="0">
      <selection activeCell="J17" sqref="J17"/>
    </sheetView>
  </sheetViews>
  <sheetFormatPr baseColWidth="10" defaultColWidth="11.42578125" defaultRowHeight="12"/>
  <cols>
    <col min="1" max="1" width="4.140625" style="1" customWidth="1"/>
    <col min="2" max="2" width="20.14062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49" width="11.42578125" style="1"/>
    <col min="250" max="250" width="13.5703125" style="1" bestFit="1" customWidth="1"/>
    <col min="251" max="253" width="11.5703125" style="1" bestFit="1" customWidth="1"/>
    <col min="254" max="254" width="7.42578125" style="1" bestFit="1" customWidth="1"/>
    <col min="255" max="255" width="8.42578125" style="1" customWidth="1"/>
    <col min="256" max="256" width="11.85546875" style="1" bestFit="1" customWidth="1"/>
    <col min="257" max="262" width="8" style="1" bestFit="1" customWidth="1"/>
    <col min="263" max="263" width="3" style="1" customWidth="1"/>
    <col min="264" max="505" width="11.42578125" style="1"/>
    <col min="506" max="506" width="13.5703125" style="1" bestFit="1" customWidth="1"/>
    <col min="507" max="509" width="11.5703125" style="1" bestFit="1" customWidth="1"/>
    <col min="510" max="510" width="7.42578125" style="1" bestFit="1" customWidth="1"/>
    <col min="511" max="511" width="8.42578125" style="1" customWidth="1"/>
    <col min="512" max="512" width="11.85546875" style="1" bestFit="1" customWidth="1"/>
    <col min="513" max="518" width="8" style="1" bestFit="1" customWidth="1"/>
    <col min="519" max="519" width="3" style="1" customWidth="1"/>
    <col min="520" max="761" width="11.42578125" style="1"/>
    <col min="762" max="762" width="13.5703125" style="1" bestFit="1" customWidth="1"/>
    <col min="763" max="765" width="11.5703125" style="1" bestFit="1" customWidth="1"/>
    <col min="766" max="766" width="7.42578125" style="1" bestFit="1" customWidth="1"/>
    <col min="767" max="767" width="8.42578125" style="1" customWidth="1"/>
    <col min="768" max="768" width="11.85546875" style="1" bestFit="1" customWidth="1"/>
    <col min="769" max="774" width="8" style="1" bestFit="1" customWidth="1"/>
    <col min="775" max="775" width="3" style="1" customWidth="1"/>
    <col min="776" max="1017" width="11.42578125" style="1"/>
    <col min="1018" max="1018" width="13.5703125" style="1" bestFit="1" customWidth="1"/>
    <col min="1019" max="1021" width="11.5703125" style="1" bestFit="1" customWidth="1"/>
    <col min="1022" max="1022" width="7.42578125" style="1" bestFit="1" customWidth="1"/>
    <col min="1023" max="1023" width="8.42578125" style="1" customWidth="1"/>
    <col min="1024" max="1024" width="11.85546875" style="1" bestFit="1" customWidth="1"/>
    <col min="1025" max="1030" width="8" style="1" bestFit="1" customWidth="1"/>
    <col min="1031" max="1031" width="3" style="1" customWidth="1"/>
    <col min="1032" max="1273" width="11.42578125" style="1"/>
    <col min="1274" max="1274" width="13.5703125" style="1" bestFit="1" customWidth="1"/>
    <col min="1275" max="1277" width="11.5703125" style="1" bestFit="1" customWidth="1"/>
    <col min="1278" max="1278" width="7.42578125" style="1" bestFit="1" customWidth="1"/>
    <col min="1279" max="1279" width="8.42578125" style="1" customWidth="1"/>
    <col min="1280" max="1280" width="11.85546875" style="1" bestFit="1" customWidth="1"/>
    <col min="1281" max="1286" width="8" style="1" bestFit="1" customWidth="1"/>
    <col min="1287" max="1287" width="3" style="1" customWidth="1"/>
    <col min="1288" max="1529" width="11.42578125" style="1"/>
    <col min="1530" max="1530" width="13.5703125" style="1" bestFit="1" customWidth="1"/>
    <col min="1531" max="1533" width="11.5703125" style="1" bestFit="1" customWidth="1"/>
    <col min="1534" max="1534" width="7.42578125" style="1" bestFit="1" customWidth="1"/>
    <col min="1535" max="1535" width="8.42578125" style="1" customWidth="1"/>
    <col min="1536" max="1536" width="11.85546875" style="1" bestFit="1" customWidth="1"/>
    <col min="1537" max="1542" width="8" style="1" bestFit="1" customWidth="1"/>
    <col min="1543" max="1543" width="3" style="1" customWidth="1"/>
    <col min="1544" max="1785" width="11.42578125" style="1"/>
    <col min="1786" max="1786" width="13.5703125" style="1" bestFit="1" customWidth="1"/>
    <col min="1787" max="1789" width="11.5703125" style="1" bestFit="1" customWidth="1"/>
    <col min="1790" max="1790" width="7.42578125" style="1" bestFit="1" customWidth="1"/>
    <col min="1791" max="1791" width="8.42578125" style="1" customWidth="1"/>
    <col min="1792" max="1792" width="11.85546875" style="1" bestFit="1" customWidth="1"/>
    <col min="1793" max="1798" width="8" style="1" bestFit="1" customWidth="1"/>
    <col min="1799" max="1799" width="3" style="1" customWidth="1"/>
    <col min="1800" max="2041" width="11.42578125" style="1"/>
    <col min="2042" max="2042" width="13.5703125" style="1" bestFit="1" customWidth="1"/>
    <col min="2043" max="2045" width="11.5703125" style="1" bestFit="1" customWidth="1"/>
    <col min="2046" max="2046" width="7.42578125" style="1" bestFit="1" customWidth="1"/>
    <col min="2047" max="2047" width="8.42578125" style="1" customWidth="1"/>
    <col min="2048" max="2048" width="11.85546875" style="1" bestFit="1" customWidth="1"/>
    <col min="2049" max="2054" width="8" style="1" bestFit="1" customWidth="1"/>
    <col min="2055" max="2055" width="3" style="1" customWidth="1"/>
    <col min="2056" max="2297" width="11.42578125" style="1"/>
    <col min="2298" max="2298" width="13.5703125" style="1" bestFit="1" customWidth="1"/>
    <col min="2299" max="2301" width="11.5703125" style="1" bestFit="1" customWidth="1"/>
    <col min="2302" max="2302" width="7.42578125" style="1" bestFit="1" customWidth="1"/>
    <col min="2303" max="2303" width="8.42578125" style="1" customWidth="1"/>
    <col min="2304" max="2304" width="11.85546875" style="1" bestFit="1" customWidth="1"/>
    <col min="2305" max="2310" width="8" style="1" bestFit="1" customWidth="1"/>
    <col min="2311" max="2311" width="3" style="1" customWidth="1"/>
    <col min="2312" max="2553" width="11.42578125" style="1"/>
    <col min="2554" max="2554" width="13.5703125" style="1" bestFit="1" customWidth="1"/>
    <col min="2555" max="2557" width="11.5703125" style="1" bestFit="1" customWidth="1"/>
    <col min="2558" max="2558" width="7.42578125" style="1" bestFit="1" customWidth="1"/>
    <col min="2559" max="2559" width="8.42578125" style="1" customWidth="1"/>
    <col min="2560" max="2560" width="11.85546875" style="1" bestFit="1" customWidth="1"/>
    <col min="2561" max="2566" width="8" style="1" bestFit="1" customWidth="1"/>
    <col min="2567" max="2567" width="3" style="1" customWidth="1"/>
    <col min="2568" max="2809" width="11.42578125" style="1"/>
    <col min="2810" max="2810" width="13.5703125" style="1" bestFit="1" customWidth="1"/>
    <col min="2811" max="2813" width="11.5703125" style="1" bestFit="1" customWidth="1"/>
    <col min="2814" max="2814" width="7.42578125" style="1" bestFit="1" customWidth="1"/>
    <col min="2815" max="2815" width="8.42578125" style="1" customWidth="1"/>
    <col min="2816" max="2816" width="11.85546875" style="1" bestFit="1" customWidth="1"/>
    <col min="2817" max="2822" width="8" style="1" bestFit="1" customWidth="1"/>
    <col min="2823" max="2823" width="3" style="1" customWidth="1"/>
    <col min="2824" max="3065" width="11.42578125" style="1"/>
    <col min="3066" max="3066" width="13.5703125" style="1" bestFit="1" customWidth="1"/>
    <col min="3067" max="3069" width="11.5703125" style="1" bestFit="1" customWidth="1"/>
    <col min="3070" max="3070" width="7.42578125" style="1" bestFit="1" customWidth="1"/>
    <col min="3071" max="3071" width="8.42578125" style="1" customWidth="1"/>
    <col min="3072" max="3072" width="11.85546875" style="1" bestFit="1" customWidth="1"/>
    <col min="3073" max="3078" width="8" style="1" bestFit="1" customWidth="1"/>
    <col min="3079" max="3079" width="3" style="1" customWidth="1"/>
    <col min="3080" max="3321" width="11.42578125" style="1"/>
    <col min="3322" max="3322" width="13.5703125" style="1" bestFit="1" customWidth="1"/>
    <col min="3323" max="3325" width="11.5703125" style="1" bestFit="1" customWidth="1"/>
    <col min="3326" max="3326" width="7.42578125" style="1" bestFit="1" customWidth="1"/>
    <col min="3327" max="3327" width="8.42578125" style="1" customWidth="1"/>
    <col min="3328" max="3328" width="11.85546875" style="1" bestFit="1" customWidth="1"/>
    <col min="3329" max="3334" width="8" style="1" bestFit="1" customWidth="1"/>
    <col min="3335" max="3335" width="3" style="1" customWidth="1"/>
    <col min="3336" max="3577" width="11.42578125" style="1"/>
    <col min="3578" max="3578" width="13.5703125" style="1" bestFit="1" customWidth="1"/>
    <col min="3579" max="3581" width="11.5703125" style="1" bestFit="1" customWidth="1"/>
    <col min="3582" max="3582" width="7.42578125" style="1" bestFit="1" customWidth="1"/>
    <col min="3583" max="3583" width="8.42578125" style="1" customWidth="1"/>
    <col min="3584" max="3584" width="11.85546875" style="1" bestFit="1" customWidth="1"/>
    <col min="3585" max="3590" width="8" style="1" bestFit="1" customWidth="1"/>
    <col min="3591" max="3591" width="3" style="1" customWidth="1"/>
    <col min="3592" max="3833" width="11.42578125" style="1"/>
    <col min="3834" max="3834" width="13.5703125" style="1" bestFit="1" customWidth="1"/>
    <col min="3835" max="3837" width="11.5703125" style="1" bestFit="1" customWidth="1"/>
    <col min="3838" max="3838" width="7.42578125" style="1" bestFit="1" customWidth="1"/>
    <col min="3839" max="3839" width="8.42578125" style="1" customWidth="1"/>
    <col min="3840" max="3840" width="11.85546875" style="1" bestFit="1" customWidth="1"/>
    <col min="3841" max="3846" width="8" style="1" bestFit="1" customWidth="1"/>
    <col min="3847" max="3847" width="3" style="1" customWidth="1"/>
    <col min="3848" max="4089" width="11.42578125" style="1"/>
    <col min="4090" max="4090" width="13.5703125" style="1" bestFit="1" customWidth="1"/>
    <col min="4091" max="4093" width="11.5703125" style="1" bestFit="1" customWidth="1"/>
    <col min="4094" max="4094" width="7.42578125" style="1" bestFit="1" customWidth="1"/>
    <col min="4095" max="4095" width="8.42578125" style="1" customWidth="1"/>
    <col min="4096" max="4096" width="11.85546875" style="1" bestFit="1" customWidth="1"/>
    <col min="4097" max="4102" width="8" style="1" bestFit="1" customWidth="1"/>
    <col min="4103" max="4103" width="3" style="1" customWidth="1"/>
    <col min="4104" max="4345" width="11.42578125" style="1"/>
    <col min="4346" max="4346" width="13.5703125" style="1" bestFit="1" customWidth="1"/>
    <col min="4347" max="4349" width="11.5703125" style="1" bestFit="1" customWidth="1"/>
    <col min="4350" max="4350" width="7.42578125" style="1" bestFit="1" customWidth="1"/>
    <col min="4351" max="4351" width="8.42578125" style="1" customWidth="1"/>
    <col min="4352" max="4352" width="11.85546875" style="1" bestFit="1" customWidth="1"/>
    <col min="4353" max="4358" width="8" style="1" bestFit="1" customWidth="1"/>
    <col min="4359" max="4359" width="3" style="1" customWidth="1"/>
    <col min="4360" max="4601" width="11.42578125" style="1"/>
    <col min="4602" max="4602" width="13.5703125" style="1" bestFit="1" customWidth="1"/>
    <col min="4603" max="4605" width="11.5703125" style="1" bestFit="1" customWidth="1"/>
    <col min="4606" max="4606" width="7.42578125" style="1" bestFit="1" customWidth="1"/>
    <col min="4607" max="4607" width="8.42578125" style="1" customWidth="1"/>
    <col min="4608" max="4608" width="11.85546875" style="1" bestFit="1" customWidth="1"/>
    <col min="4609" max="4614" width="8" style="1" bestFit="1" customWidth="1"/>
    <col min="4615" max="4615" width="3" style="1" customWidth="1"/>
    <col min="4616" max="4857" width="11.42578125" style="1"/>
    <col min="4858" max="4858" width="13.5703125" style="1" bestFit="1" customWidth="1"/>
    <col min="4859" max="4861" width="11.5703125" style="1" bestFit="1" customWidth="1"/>
    <col min="4862" max="4862" width="7.42578125" style="1" bestFit="1" customWidth="1"/>
    <col min="4863" max="4863" width="8.42578125" style="1" customWidth="1"/>
    <col min="4864" max="4864" width="11.85546875" style="1" bestFit="1" customWidth="1"/>
    <col min="4865" max="4870" width="8" style="1" bestFit="1" customWidth="1"/>
    <col min="4871" max="4871" width="3" style="1" customWidth="1"/>
    <col min="4872" max="5113" width="11.42578125" style="1"/>
    <col min="5114" max="5114" width="13.5703125" style="1" bestFit="1" customWidth="1"/>
    <col min="5115" max="5117" width="11.5703125" style="1" bestFit="1" customWidth="1"/>
    <col min="5118" max="5118" width="7.42578125" style="1" bestFit="1" customWidth="1"/>
    <col min="5119" max="5119" width="8.42578125" style="1" customWidth="1"/>
    <col min="5120" max="5120" width="11.85546875" style="1" bestFit="1" customWidth="1"/>
    <col min="5121" max="5126" width="8" style="1" bestFit="1" customWidth="1"/>
    <col min="5127" max="5127" width="3" style="1" customWidth="1"/>
    <col min="5128" max="5369" width="11.42578125" style="1"/>
    <col min="5370" max="5370" width="13.5703125" style="1" bestFit="1" customWidth="1"/>
    <col min="5371" max="5373" width="11.5703125" style="1" bestFit="1" customWidth="1"/>
    <col min="5374" max="5374" width="7.42578125" style="1" bestFit="1" customWidth="1"/>
    <col min="5375" max="5375" width="8.42578125" style="1" customWidth="1"/>
    <col min="5376" max="5376" width="11.85546875" style="1" bestFit="1" customWidth="1"/>
    <col min="5377" max="5382" width="8" style="1" bestFit="1" customWidth="1"/>
    <col min="5383" max="5383" width="3" style="1" customWidth="1"/>
    <col min="5384" max="5625" width="11.42578125" style="1"/>
    <col min="5626" max="5626" width="13.5703125" style="1" bestFit="1" customWidth="1"/>
    <col min="5627" max="5629" width="11.5703125" style="1" bestFit="1" customWidth="1"/>
    <col min="5630" max="5630" width="7.42578125" style="1" bestFit="1" customWidth="1"/>
    <col min="5631" max="5631" width="8.42578125" style="1" customWidth="1"/>
    <col min="5632" max="5632" width="11.85546875" style="1" bestFit="1" customWidth="1"/>
    <col min="5633" max="5638" width="8" style="1" bestFit="1" customWidth="1"/>
    <col min="5639" max="5639" width="3" style="1" customWidth="1"/>
    <col min="5640" max="5881" width="11.42578125" style="1"/>
    <col min="5882" max="5882" width="13.5703125" style="1" bestFit="1" customWidth="1"/>
    <col min="5883" max="5885" width="11.5703125" style="1" bestFit="1" customWidth="1"/>
    <col min="5886" max="5886" width="7.42578125" style="1" bestFit="1" customWidth="1"/>
    <col min="5887" max="5887" width="8.42578125" style="1" customWidth="1"/>
    <col min="5888" max="5888" width="11.85546875" style="1" bestFit="1" customWidth="1"/>
    <col min="5889" max="5894" width="8" style="1" bestFit="1" customWidth="1"/>
    <col min="5895" max="5895" width="3" style="1" customWidth="1"/>
    <col min="5896" max="6137" width="11.42578125" style="1"/>
    <col min="6138" max="6138" width="13.5703125" style="1" bestFit="1" customWidth="1"/>
    <col min="6139" max="6141" width="11.5703125" style="1" bestFit="1" customWidth="1"/>
    <col min="6142" max="6142" width="7.42578125" style="1" bestFit="1" customWidth="1"/>
    <col min="6143" max="6143" width="8.42578125" style="1" customWidth="1"/>
    <col min="6144" max="6144" width="11.85546875" style="1" bestFit="1" customWidth="1"/>
    <col min="6145" max="6150" width="8" style="1" bestFit="1" customWidth="1"/>
    <col min="6151" max="6151" width="3" style="1" customWidth="1"/>
    <col min="6152" max="6393" width="11.42578125" style="1"/>
    <col min="6394" max="6394" width="13.5703125" style="1" bestFit="1" customWidth="1"/>
    <col min="6395" max="6397" width="11.5703125" style="1" bestFit="1" customWidth="1"/>
    <col min="6398" max="6398" width="7.42578125" style="1" bestFit="1" customWidth="1"/>
    <col min="6399" max="6399" width="8.42578125" style="1" customWidth="1"/>
    <col min="6400" max="6400" width="11.85546875" style="1" bestFit="1" customWidth="1"/>
    <col min="6401" max="6406" width="8" style="1" bestFit="1" customWidth="1"/>
    <col min="6407" max="6407" width="3" style="1" customWidth="1"/>
    <col min="6408" max="6649" width="11.42578125" style="1"/>
    <col min="6650" max="6650" width="13.5703125" style="1" bestFit="1" customWidth="1"/>
    <col min="6651" max="6653" width="11.5703125" style="1" bestFit="1" customWidth="1"/>
    <col min="6654" max="6654" width="7.42578125" style="1" bestFit="1" customWidth="1"/>
    <col min="6655" max="6655" width="8.42578125" style="1" customWidth="1"/>
    <col min="6656" max="6656" width="11.85546875" style="1" bestFit="1" customWidth="1"/>
    <col min="6657" max="6662" width="8" style="1" bestFit="1" customWidth="1"/>
    <col min="6663" max="6663" width="3" style="1" customWidth="1"/>
    <col min="6664" max="6905" width="11.42578125" style="1"/>
    <col min="6906" max="6906" width="13.5703125" style="1" bestFit="1" customWidth="1"/>
    <col min="6907" max="6909" width="11.5703125" style="1" bestFit="1" customWidth="1"/>
    <col min="6910" max="6910" width="7.42578125" style="1" bestFit="1" customWidth="1"/>
    <col min="6911" max="6911" width="8.42578125" style="1" customWidth="1"/>
    <col min="6912" max="6912" width="11.85546875" style="1" bestFit="1" customWidth="1"/>
    <col min="6913" max="6918" width="8" style="1" bestFit="1" customWidth="1"/>
    <col min="6919" max="6919" width="3" style="1" customWidth="1"/>
    <col min="6920" max="7161" width="11.42578125" style="1"/>
    <col min="7162" max="7162" width="13.5703125" style="1" bestFit="1" customWidth="1"/>
    <col min="7163" max="7165" width="11.5703125" style="1" bestFit="1" customWidth="1"/>
    <col min="7166" max="7166" width="7.42578125" style="1" bestFit="1" customWidth="1"/>
    <col min="7167" max="7167" width="8.42578125" style="1" customWidth="1"/>
    <col min="7168" max="7168" width="11.85546875" style="1" bestFit="1" customWidth="1"/>
    <col min="7169" max="7174" width="8" style="1" bestFit="1" customWidth="1"/>
    <col min="7175" max="7175" width="3" style="1" customWidth="1"/>
    <col min="7176" max="7417" width="11.42578125" style="1"/>
    <col min="7418" max="7418" width="13.5703125" style="1" bestFit="1" customWidth="1"/>
    <col min="7419" max="7421" width="11.5703125" style="1" bestFit="1" customWidth="1"/>
    <col min="7422" max="7422" width="7.42578125" style="1" bestFit="1" customWidth="1"/>
    <col min="7423" max="7423" width="8.42578125" style="1" customWidth="1"/>
    <col min="7424" max="7424" width="11.85546875" style="1" bestFit="1" customWidth="1"/>
    <col min="7425" max="7430" width="8" style="1" bestFit="1" customWidth="1"/>
    <col min="7431" max="7431" width="3" style="1" customWidth="1"/>
    <col min="7432" max="7673" width="11.42578125" style="1"/>
    <col min="7674" max="7674" width="13.5703125" style="1" bestFit="1" customWidth="1"/>
    <col min="7675" max="7677" width="11.5703125" style="1" bestFit="1" customWidth="1"/>
    <col min="7678" max="7678" width="7.42578125" style="1" bestFit="1" customWidth="1"/>
    <col min="7679" max="7679" width="8.42578125" style="1" customWidth="1"/>
    <col min="7680" max="7680" width="11.85546875" style="1" bestFit="1" customWidth="1"/>
    <col min="7681" max="7686" width="8" style="1" bestFit="1" customWidth="1"/>
    <col min="7687" max="7687" width="3" style="1" customWidth="1"/>
    <col min="7688" max="7929" width="11.42578125" style="1"/>
    <col min="7930" max="7930" width="13.5703125" style="1" bestFit="1" customWidth="1"/>
    <col min="7931" max="7933" width="11.5703125" style="1" bestFit="1" customWidth="1"/>
    <col min="7934" max="7934" width="7.42578125" style="1" bestFit="1" customWidth="1"/>
    <col min="7935" max="7935" width="8.42578125" style="1" customWidth="1"/>
    <col min="7936" max="7936" width="11.85546875" style="1" bestFit="1" customWidth="1"/>
    <col min="7937" max="7942" width="8" style="1" bestFit="1" customWidth="1"/>
    <col min="7943" max="7943" width="3" style="1" customWidth="1"/>
    <col min="7944" max="8185" width="11.42578125" style="1"/>
    <col min="8186" max="8186" width="13.5703125" style="1" bestFit="1" customWidth="1"/>
    <col min="8187" max="8189" width="11.5703125" style="1" bestFit="1" customWidth="1"/>
    <col min="8190" max="8190" width="7.42578125" style="1" bestFit="1" customWidth="1"/>
    <col min="8191" max="8191" width="8.42578125" style="1" customWidth="1"/>
    <col min="8192" max="8192" width="11.85546875" style="1" bestFit="1" customWidth="1"/>
    <col min="8193" max="8198" width="8" style="1" bestFit="1" customWidth="1"/>
    <col min="8199" max="8199" width="3" style="1" customWidth="1"/>
    <col min="8200" max="8441" width="11.42578125" style="1"/>
    <col min="8442" max="8442" width="13.5703125" style="1" bestFit="1" customWidth="1"/>
    <col min="8443" max="8445" width="11.5703125" style="1" bestFit="1" customWidth="1"/>
    <col min="8446" max="8446" width="7.42578125" style="1" bestFit="1" customWidth="1"/>
    <col min="8447" max="8447" width="8.42578125" style="1" customWidth="1"/>
    <col min="8448" max="8448" width="11.85546875" style="1" bestFit="1" customWidth="1"/>
    <col min="8449" max="8454" width="8" style="1" bestFit="1" customWidth="1"/>
    <col min="8455" max="8455" width="3" style="1" customWidth="1"/>
    <col min="8456" max="8697" width="11.42578125" style="1"/>
    <col min="8698" max="8698" width="13.5703125" style="1" bestFit="1" customWidth="1"/>
    <col min="8699" max="8701" width="11.5703125" style="1" bestFit="1" customWidth="1"/>
    <col min="8702" max="8702" width="7.42578125" style="1" bestFit="1" customWidth="1"/>
    <col min="8703" max="8703" width="8.42578125" style="1" customWidth="1"/>
    <col min="8704" max="8704" width="11.85546875" style="1" bestFit="1" customWidth="1"/>
    <col min="8705" max="8710" width="8" style="1" bestFit="1" customWidth="1"/>
    <col min="8711" max="8711" width="3" style="1" customWidth="1"/>
    <col min="8712" max="8953" width="11.42578125" style="1"/>
    <col min="8954" max="8954" width="13.5703125" style="1" bestFit="1" customWidth="1"/>
    <col min="8955" max="8957" width="11.5703125" style="1" bestFit="1" customWidth="1"/>
    <col min="8958" max="8958" width="7.42578125" style="1" bestFit="1" customWidth="1"/>
    <col min="8959" max="8959" width="8.42578125" style="1" customWidth="1"/>
    <col min="8960" max="8960" width="11.85546875" style="1" bestFit="1" customWidth="1"/>
    <col min="8961" max="8966" width="8" style="1" bestFit="1" customWidth="1"/>
    <col min="8967" max="8967" width="3" style="1" customWidth="1"/>
    <col min="8968" max="9209" width="11.42578125" style="1"/>
    <col min="9210" max="9210" width="13.5703125" style="1" bestFit="1" customWidth="1"/>
    <col min="9211" max="9213" width="11.5703125" style="1" bestFit="1" customWidth="1"/>
    <col min="9214" max="9214" width="7.42578125" style="1" bestFit="1" customWidth="1"/>
    <col min="9215" max="9215" width="8.42578125" style="1" customWidth="1"/>
    <col min="9216" max="9216" width="11.85546875" style="1" bestFit="1" customWidth="1"/>
    <col min="9217" max="9222" width="8" style="1" bestFit="1" customWidth="1"/>
    <col min="9223" max="9223" width="3" style="1" customWidth="1"/>
    <col min="9224" max="9465" width="11.42578125" style="1"/>
    <col min="9466" max="9466" width="13.5703125" style="1" bestFit="1" customWidth="1"/>
    <col min="9467" max="9469" width="11.5703125" style="1" bestFit="1" customWidth="1"/>
    <col min="9470" max="9470" width="7.42578125" style="1" bestFit="1" customWidth="1"/>
    <col min="9471" max="9471" width="8.42578125" style="1" customWidth="1"/>
    <col min="9472" max="9472" width="11.85546875" style="1" bestFit="1" customWidth="1"/>
    <col min="9473" max="9478" width="8" style="1" bestFit="1" customWidth="1"/>
    <col min="9479" max="9479" width="3" style="1" customWidth="1"/>
    <col min="9480" max="9721" width="11.42578125" style="1"/>
    <col min="9722" max="9722" width="13.5703125" style="1" bestFit="1" customWidth="1"/>
    <col min="9723" max="9725" width="11.5703125" style="1" bestFit="1" customWidth="1"/>
    <col min="9726" max="9726" width="7.42578125" style="1" bestFit="1" customWidth="1"/>
    <col min="9727" max="9727" width="8.42578125" style="1" customWidth="1"/>
    <col min="9728" max="9728" width="11.85546875" style="1" bestFit="1" customWidth="1"/>
    <col min="9729" max="9734" width="8" style="1" bestFit="1" customWidth="1"/>
    <col min="9735" max="9735" width="3" style="1" customWidth="1"/>
    <col min="9736" max="9977" width="11.42578125" style="1"/>
    <col min="9978" max="9978" width="13.5703125" style="1" bestFit="1" customWidth="1"/>
    <col min="9979" max="9981" width="11.5703125" style="1" bestFit="1" customWidth="1"/>
    <col min="9982" max="9982" width="7.42578125" style="1" bestFit="1" customWidth="1"/>
    <col min="9983" max="9983" width="8.42578125" style="1" customWidth="1"/>
    <col min="9984" max="9984" width="11.85546875" style="1" bestFit="1" customWidth="1"/>
    <col min="9985" max="9990" width="8" style="1" bestFit="1" customWidth="1"/>
    <col min="9991" max="9991" width="3" style="1" customWidth="1"/>
    <col min="9992" max="10233" width="11.42578125" style="1"/>
    <col min="10234" max="10234" width="13.5703125" style="1" bestFit="1" customWidth="1"/>
    <col min="10235" max="10237" width="11.5703125" style="1" bestFit="1" customWidth="1"/>
    <col min="10238" max="10238" width="7.42578125" style="1" bestFit="1" customWidth="1"/>
    <col min="10239" max="10239" width="8.42578125" style="1" customWidth="1"/>
    <col min="10240" max="10240" width="11.85546875" style="1" bestFit="1" customWidth="1"/>
    <col min="10241" max="10246" width="8" style="1" bestFit="1" customWidth="1"/>
    <col min="10247" max="10247" width="3" style="1" customWidth="1"/>
    <col min="10248" max="10489" width="11.42578125" style="1"/>
    <col min="10490" max="10490" width="13.5703125" style="1" bestFit="1" customWidth="1"/>
    <col min="10491" max="10493" width="11.5703125" style="1" bestFit="1" customWidth="1"/>
    <col min="10494" max="10494" width="7.42578125" style="1" bestFit="1" customWidth="1"/>
    <col min="10495" max="10495" width="8.42578125" style="1" customWidth="1"/>
    <col min="10496" max="10496" width="11.85546875" style="1" bestFit="1" customWidth="1"/>
    <col min="10497" max="10502" width="8" style="1" bestFit="1" customWidth="1"/>
    <col min="10503" max="10503" width="3" style="1" customWidth="1"/>
    <col min="10504" max="10745" width="11.42578125" style="1"/>
    <col min="10746" max="10746" width="13.5703125" style="1" bestFit="1" customWidth="1"/>
    <col min="10747" max="10749" width="11.5703125" style="1" bestFit="1" customWidth="1"/>
    <col min="10750" max="10750" width="7.42578125" style="1" bestFit="1" customWidth="1"/>
    <col min="10751" max="10751" width="8.42578125" style="1" customWidth="1"/>
    <col min="10752" max="10752" width="11.85546875" style="1" bestFit="1" customWidth="1"/>
    <col min="10753" max="10758" width="8" style="1" bestFit="1" customWidth="1"/>
    <col min="10759" max="10759" width="3" style="1" customWidth="1"/>
    <col min="10760" max="11001" width="11.42578125" style="1"/>
    <col min="11002" max="11002" width="13.5703125" style="1" bestFit="1" customWidth="1"/>
    <col min="11003" max="11005" width="11.5703125" style="1" bestFit="1" customWidth="1"/>
    <col min="11006" max="11006" width="7.42578125" style="1" bestFit="1" customWidth="1"/>
    <col min="11007" max="11007" width="8.42578125" style="1" customWidth="1"/>
    <col min="11008" max="11008" width="11.85546875" style="1" bestFit="1" customWidth="1"/>
    <col min="11009" max="11014" width="8" style="1" bestFit="1" customWidth="1"/>
    <col min="11015" max="11015" width="3" style="1" customWidth="1"/>
    <col min="11016" max="11257" width="11.42578125" style="1"/>
    <col min="11258" max="11258" width="13.5703125" style="1" bestFit="1" customWidth="1"/>
    <col min="11259" max="11261" width="11.5703125" style="1" bestFit="1" customWidth="1"/>
    <col min="11262" max="11262" width="7.42578125" style="1" bestFit="1" customWidth="1"/>
    <col min="11263" max="11263" width="8.42578125" style="1" customWidth="1"/>
    <col min="11264" max="11264" width="11.85546875" style="1" bestFit="1" customWidth="1"/>
    <col min="11265" max="11270" width="8" style="1" bestFit="1" customWidth="1"/>
    <col min="11271" max="11271" width="3" style="1" customWidth="1"/>
    <col min="11272" max="11513" width="11.42578125" style="1"/>
    <col min="11514" max="11514" width="13.5703125" style="1" bestFit="1" customWidth="1"/>
    <col min="11515" max="11517" width="11.5703125" style="1" bestFit="1" customWidth="1"/>
    <col min="11518" max="11518" width="7.42578125" style="1" bestFit="1" customWidth="1"/>
    <col min="11519" max="11519" width="8.42578125" style="1" customWidth="1"/>
    <col min="11520" max="11520" width="11.85546875" style="1" bestFit="1" customWidth="1"/>
    <col min="11521" max="11526" width="8" style="1" bestFit="1" customWidth="1"/>
    <col min="11527" max="11527" width="3" style="1" customWidth="1"/>
    <col min="11528" max="11769" width="11.42578125" style="1"/>
    <col min="11770" max="11770" width="13.5703125" style="1" bestFit="1" customWidth="1"/>
    <col min="11771" max="11773" width="11.5703125" style="1" bestFit="1" customWidth="1"/>
    <col min="11774" max="11774" width="7.42578125" style="1" bestFit="1" customWidth="1"/>
    <col min="11775" max="11775" width="8.42578125" style="1" customWidth="1"/>
    <col min="11776" max="11776" width="11.85546875" style="1" bestFit="1" customWidth="1"/>
    <col min="11777" max="11782" width="8" style="1" bestFit="1" customWidth="1"/>
    <col min="11783" max="11783" width="3" style="1" customWidth="1"/>
    <col min="11784" max="12025" width="11.42578125" style="1"/>
    <col min="12026" max="12026" width="13.5703125" style="1" bestFit="1" customWidth="1"/>
    <col min="12027" max="12029" width="11.5703125" style="1" bestFit="1" customWidth="1"/>
    <col min="12030" max="12030" width="7.42578125" style="1" bestFit="1" customWidth="1"/>
    <col min="12031" max="12031" width="8.42578125" style="1" customWidth="1"/>
    <col min="12032" max="12032" width="11.85546875" style="1" bestFit="1" customWidth="1"/>
    <col min="12033" max="12038" width="8" style="1" bestFit="1" customWidth="1"/>
    <col min="12039" max="12039" width="3" style="1" customWidth="1"/>
    <col min="12040" max="12281" width="11.42578125" style="1"/>
    <col min="12282" max="12282" width="13.5703125" style="1" bestFit="1" customWidth="1"/>
    <col min="12283" max="12285" width="11.5703125" style="1" bestFit="1" customWidth="1"/>
    <col min="12286" max="12286" width="7.42578125" style="1" bestFit="1" customWidth="1"/>
    <col min="12287" max="12287" width="8.42578125" style="1" customWidth="1"/>
    <col min="12288" max="12288" width="11.85546875" style="1" bestFit="1" customWidth="1"/>
    <col min="12289" max="12294" width="8" style="1" bestFit="1" customWidth="1"/>
    <col min="12295" max="12295" width="3" style="1" customWidth="1"/>
    <col min="12296" max="12537" width="11.42578125" style="1"/>
    <col min="12538" max="12538" width="13.5703125" style="1" bestFit="1" customWidth="1"/>
    <col min="12539" max="12541" width="11.5703125" style="1" bestFit="1" customWidth="1"/>
    <col min="12542" max="12542" width="7.42578125" style="1" bestFit="1" customWidth="1"/>
    <col min="12543" max="12543" width="8.42578125" style="1" customWidth="1"/>
    <col min="12544" max="12544" width="11.85546875" style="1" bestFit="1" customWidth="1"/>
    <col min="12545" max="12550" width="8" style="1" bestFit="1" customWidth="1"/>
    <col min="12551" max="12551" width="3" style="1" customWidth="1"/>
    <col min="12552" max="12793" width="11.42578125" style="1"/>
    <col min="12794" max="12794" width="13.5703125" style="1" bestFit="1" customWidth="1"/>
    <col min="12795" max="12797" width="11.5703125" style="1" bestFit="1" customWidth="1"/>
    <col min="12798" max="12798" width="7.42578125" style="1" bestFit="1" customWidth="1"/>
    <col min="12799" max="12799" width="8.42578125" style="1" customWidth="1"/>
    <col min="12800" max="12800" width="11.85546875" style="1" bestFit="1" customWidth="1"/>
    <col min="12801" max="12806" width="8" style="1" bestFit="1" customWidth="1"/>
    <col min="12807" max="12807" width="3" style="1" customWidth="1"/>
    <col min="12808" max="13049" width="11.42578125" style="1"/>
    <col min="13050" max="13050" width="13.5703125" style="1" bestFit="1" customWidth="1"/>
    <col min="13051" max="13053" width="11.5703125" style="1" bestFit="1" customWidth="1"/>
    <col min="13054" max="13054" width="7.42578125" style="1" bestFit="1" customWidth="1"/>
    <col min="13055" max="13055" width="8.42578125" style="1" customWidth="1"/>
    <col min="13056" max="13056" width="11.85546875" style="1" bestFit="1" customWidth="1"/>
    <col min="13057" max="13062" width="8" style="1" bestFit="1" customWidth="1"/>
    <col min="13063" max="13063" width="3" style="1" customWidth="1"/>
    <col min="13064" max="13305" width="11.42578125" style="1"/>
    <col min="13306" max="13306" width="13.5703125" style="1" bestFit="1" customWidth="1"/>
    <col min="13307" max="13309" width="11.5703125" style="1" bestFit="1" customWidth="1"/>
    <col min="13310" max="13310" width="7.42578125" style="1" bestFit="1" customWidth="1"/>
    <col min="13311" max="13311" width="8.42578125" style="1" customWidth="1"/>
    <col min="13312" max="13312" width="11.85546875" style="1" bestFit="1" customWidth="1"/>
    <col min="13313" max="13318" width="8" style="1" bestFit="1" customWidth="1"/>
    <col min="13319" max="13319" width="3" style="1" customWidth="1"/>
    <col min="13320" max="13561" width="11.42578125" style="1"/>
    <col min="13562" max="13562" width="13.5703125" style="1" bestFit="1" customWidth="1"/>
    <col min="13563" max="13565" width="11.5703125" style="1" bestFit="1" customWidth="1"/>
    <col min="13566" max="13566" width="7.42578125" style="1" bestFit="1" customWidth="1"/>
    <col min="13567" max="13567" width="8.42578125" style="1" customWidth="1"/>
    <col min="13568" max="13568" width="11.85546875" style="1" bestFit="1" customWidth="1"/>
    <col min="13569" max="13574" width="8" style="1" bestFit="1" customWidth="1"/>
    <col min="13575" max="13575" width="3" style="1" customWidth="1"/>
    <col min="13576" max="13817" width="11.42578125" style="1"/>
    <col min="13818" max="13818" width="13.5703125" style="1" bestFit="1" customWidth="1"/>
    <col min="13819" max="13821" width="11.5703125" style="1" bestFit="1" customWidth="1"/>
    <col min="13822" max="13822" width="7.42578125" style="1" bestFit="1" customWidth="1"/>
    <col min="13823" max="13823" width="8.42578125" style="1" customWidth="1"/>
    <col min="13824" max="13824" width="11.85546875" style="1" bestFit="1" customWidth="1"/>
    <col min="13825" max="13830" width="8" style="1" bestFit="1" customWidth="1"/>
    <col min="13831" max="13831" width="3" style="1" customWidth="1"/>
    <col min="13832" max="14073" width="11.42578125" style="1"/>
    <col min="14074" max="14074" width="13.5703125" style="1" bestFit="1" customWidth="1"/>
    <col min="14075" max="14077" width="11.5703125" style="1" bestFit="1" customWidth="1"/>
    <col min="14078" max="14078" width="7.42578125" style="1" bestFit="1" customWidth="1"/>
    <col min="14079" max="14079" width="8.42578125" style="1" customWidth="1"/>
    <col min="14080" max="14080" width="11.85546875" style="1" bestFit="1" customWidth="1"/>
    <col min="14081" max="14086" width="8" style="1" bestFit="1" customWidth="1"/>
    <col min="14087" max="14087" width="3" style="1" customWidth="1"/>
    <col min="14088" max="14329" width="11.42578125" style="1"/>
    <col min="14330" max="14330" width="13.5703125" style="1" bestFit="1" customWidth="1"/>
    <col min="14331" max="14333" width="11.5703125" style="1" bestFit="1" customWidth="1"/>
    <col min="14334" max="14334" width="7.42578125" style="1" bestFit="1" customWidth="1"/>
    <col min="14335" max="14335" width="8.42578125" style="1" customWidth="1"/>
    <col min="14336" max="14336" width="11.85546875" style="1" bestFit="1" customWidth="1"/>
    <col min="14337" max="14342" width="8" style="1" bestFit="1" customWidth="1"/>
    <col min="14343" max="14343" width="3" style="1" customWidth="1"/>
    <col min="14344" max="14585" width="11.42578125" style="1"/>
    <col min="14586" max="14586" width="13.5703125" style="1" bestFit="1" customWidth="1"/>
    <col min="14587" max="14589" width="11.5703125" style="1" bestFit="1" customWidth="1"/>
    <col min="14590" max="14590" width="7.42578125" style="1" bestFit="1" customWidth="1"/>
    <col min="14591" max="14591" width="8.42578125" style="1" customWidth="1"/>
    <col min="14592" max="14592" width="11.85546875" style="1" bestFit="1" customWidth="1"/>
    <col min="14593" max="14598" width="8" style="1" bestFit="1" customWidth="1"/>
    <col min="14599" max="14599" width="3" style="1" customWidth="1"/>
    <col min="14600" max="14841" width="11.42578125" style="1"/>
    <col min="14842" max="14842" width="13.5703125" style="1" bestFit="1" customWidth="1"/>
    <col min="14843" max="14845" width="11.5703125" style="1" bestFit="1" customWidth="1"/>
    <col min="14846" max="14846" width="7.42578125" style="1" bestFit="1" customWidth="1"/>
    <col min="14847" max="14847" width="8.42578125" style="1" customWidth="1"/>
    <col min="14848" max="14848" width="11.85546875" style="1" bestFit="1" customWidth="1"/>
    <col min="14849" max="14854" width="8" style="1" bestFit="1" customWidth="1"/>
    <col min="14855" max="14855" width="3" style="1" customWidth="1"/>
    <col min="14856" max="15097" width="11.42578125" style="1"/>
    <col min="15098" max="15098" width="13.5703125" style="1" bestFit="1" customWidth="1"/>
    <col min="15099" max="15101" width="11.5703125" style="1" bestFit="1" customWidth="1"/>
    <col min="15102" max="15102" width="7.42578125" style="1" bestFit="1" customWidth="1"/>
    <col min="15103" max="15103" width="8.42578125" style="1" customWidth="1"/>
    <col min="15104" max="15104" width="11.85546875" style="1" bestFit="1" customWidth="1"/>
    <col min="15105" max="15110" width="8" style="1" bestFit="1" customWidth="1"/>
    <col min="15111" max="15111" width="3" style="1" customWidth="1"/>
    <col min="15112" max="15353" width="11.42578125" style="1"/>
    <col min="15354" max="15354" width="13.5703125" style="1" bestFit="1" customWidth="1"/>
    <col min="15355" max="15357" width="11.5703125" style="1" bestFit="1" customWidth="1"/>
    <col min="15358" max="15358" width="7.42578125" style="1" bestFit="1" customWidth="1"/>
    <col min="15359" max="15359" width="8.42578125" style="1" customWidth="1"/>
    <col min="15360" max="15360" width="11.85546875" style="1" bestFit="1" customWidth="1"/>
    <col min="15361" max="15366" width="8" style="1" bestFit="1" customWidth="1"/>
    <col min="15367" max="15367" width="3" style="1" customWidth="1"/>
    <col min="15368" max="15609" width="11.42578125" style="1"/>
    <col min="15610" max="15610" width="13.5703125" style="1" bestFit="1" customWidth="1"/>
    <col min="15611" max="15613" width="11.5703125" style="1" bestFit="1" customWidth="1"/>
    <col min="15614" max="15614" width="7.42578125" style="1" bestFit="1" customWidth="1"/>
    <col min="15615" max="15615" width="8.42578125" style="1" customWidth="1"/>
    <col min="15616" max="15616" width="11.85546875" style="1" bestFit="1" customWidth="1"/>
    <col min="15617" max="15622" width="8" style="1" bestFit="1" customWidth="1"/>
    <col min="15623" max="15623" width="3" style="1" customWidth="1"/>
    <col min="15624" max="15865" width="11.42578125" style="1"/>
    <col min="15866" max="15866" width="13.5703125" style="1" bestFit="1" customWidth="1"/>
    <col min="15867" max="15869" width="11.5703125" style="1" bestFit="1" customWidth="1"/>
    <col min="15870" max="15870" width="7.42578125" style="1" bestFit="1" customWidth="1"/>
    <col min="15871" max="15871" width="8.42578125" style="1" customWidth="1"/>
    <col min="15872" max="15872" width="11.85546875" style="1" bestFit="1" customWidth="1"/>
    <col min="15873" max="15878" width="8" style="1" bestFit="1" customWidth="1"/>
    <col min="15879" max="15879" width="3" style="1" customWidth="1"/>
    <col min="15880" max="16121" width="11.42578125" style="1"/>
    <col min="16122" max="16122" width="13.5703125" style="1" bestFit="1" customWidth="1"/>
    <col min="16123" max="16125" width="11.5703125" style="1" bestFit="1" customWidth="1"/>
    <col min="16126" max="16126" width="7.42578125" style="1" bestFit="1" customWidth="1"/>
    <col min="16127" max="16127" width="8.42578125" style="1" customWidth="1"/>
    <col min="16128" max="16128" width="11.85546875" style="1" bestFit="1" customWidth="1"/>
    <col min="16129" max="16134" width="8" style="1" bestFit="1" customWidth="1"/>
    <col min="16135" max="16135" width="3" style="1" customWidth="1"/>
    <col min="16136" max="16384" width="11.42578125" style="1"/>
  </cols>
  <sheetData>
    <row r="1" spans="2:24" ht="25.5" customHeight="1">
      <c r="B1" s="290"/>
      <c r="C1" s="291"/>
      <c r="D1" s="310" t="s">
        <v>32</v>
      </c>
      <c r="E1" s="311"/>
      <c r="F1" s="311"/>
      <c r="G1" s="311"/>
      <c r="H1" s="311"/>
      <c r="I1" s="311"/>
      <c r="J1" s="311"/>
      <c r="K1" s="312"/>
      <c r="L1" s="342"/>
      <c r="M1" s="343"/>
      <c r="N1" s="343"/>
      <c r="O1" s="344"/>
      <c r="Q1" s="307"/>
      <c r="R1" s="307"/>
      <c r="S1" s="307"/>
      <c r="T1" s="296"/>
      <c r="U1" s="296"/>
      <c r="V1" s="283"/>
      <c r="W1" s="283"/>
      <c r="X1" s="283"/>
    </row>
    <row r="2" spans="2:24" ht="25.5" customHeight="1">
      <c r="B2" s="292"/>
      <c r="C2" s="293"/>
      <c r="D2" s="297" t="s">
        <v>31</v>
      </c>
      <c r="E2" s="298"/>
      <c r="F2" s="298"/>
      <c r="G2" s="298"/>
      <c r="H2" s="298"/>
      <c r="I2" s="298"/>
      <c r="J2" s="298"/>
      <c r="K2" s="299"/>
      <c r="L2" s="345"/>
      <c r="M2" s="346"/>
      <c r="N2" s="346"/>
      <c r="O2" s="347"/>
      <c r="Q2" s="307"/>
      <c r="R2" s="307"/>
      <c r="S2" s="307"/>
      <c r="T2" s="296"/>
      <c r="U2" s="296"/>
      <c r="V2" s="283"/>
      <c r="W2" s="283"/>
      <c r="X2" s="283"/>
    </row>
    <row r="3" spans="2:24" ht="25.5" customHeight="1">
      <c r="B3" s="294"/>
      <c r="C3" s="295"/>
      <c r="D3" s="300"/>
      <c r="E3" s="301"/>
      <c r="F3" s="301"/>
      <c r="G3" s="301"/>
      <c r="H3" s="301"/>
      <c r="I3" s="301"/>
      <c r="J3" s="301"/>
      <c r="K3" s="302"/>
      <c r="L3" s="348"/>
      <c r="M3" s="349"/>
      <c r="N3" s="349"/>
      <c r="O3" s="350"/>
      <c r="Q3" s="307"/>
      <c r="R3" s="307"/>
      <c r="S3" s="307"/>
      <c r="T3" s="296"/>
      <c r="U3" s="296"/>
      <c r="V3" s="282"/>
      <c r="W3" s="283"/>
      <c r="X3" s="283"/>
    </row>
    <row r="4" spans="2:24" ht="12.75" customHeight="1">
      <c r="B4" s="5"/>
      <c r="K4" s="284"/>
      <c r="L4" s="284"/>
      <c r="M4" s="284"/>
      <c r="N4" s="284"/>
      <c r="O4" s="285"/>
    </row>
    <row r="5" spans="2:24" ht="15" customHeight="1">
      <c r="B5" s="286" t="s">
        <v>0</v>
      </c>
      <c r="C5" s="287"/>
      <c r="D5" s="351" t="s">
        <v>110</v>
      </c>
      <c r="E5" s="351"/>
      <c r="F5" s="351"/>
      <c r="G5" s="351"/>
      <c r="H5" s="287" t="s">
        <v>1</v>
      </c>
      <c r="I5" s="287"/>
      <c r="J5" s="289" t="s">
        <v>141</v>
      </c>
      <c r="K5" s="289"/>
      <c r="L5" s="289"/>
      <c r="M5" s="289"/>
      <c r="N5" s="289"/>
      <c r="O5" s="9"/>
    </row>
    <row r="6" spans="2:24" ht="14.25" customHeight="1" thickBot="1">
      <c r="B6" s="92"/>
      <c r="C6" s="93"/>
      <c r="D6" s="93"/>
      <c r="E6" s="7"/>
      <c r="F6" s="7"/>
      <c r="G6" s="7"/>
      <c r="H6" s="7"/>
      <c r="I6" s="7"/>
      <c r="J6" s="7"/>
      <c r="K6" s="7"/>
      <c r="L6" s="7"/>
      <c r="M6" s="7"/>
      <c r="N6" s="7"/>
      <c r="O6" s="8"/>
    </row>
    <row r="7" spans="2:24" ht="20.25" customHeight="1" thickBot="1">
      <c r="B7" s="333" t="s">
        <v>2</v>
      </c>
      <c r="C7" s="334"/>
      <c r="D7" s="335"/>
      <c r="E7" s="277" t="s">
        <v>152</v>
      </c>
      <c r="F7" s="277"/>
      <c r="G7" s="277"/>
      <c r="H7" s="277"/>
      <c r="I7" s="277"/>
      <c r="J7" s="277"/>
      <c r="K7" s="277"/>
      <c r="L7" s="277"/>
      <c r="M7" s="277"/>
      <c r="N7" s="277"/>
      <c r="O7" s="278"/>
    </row>
    <row r="8" spans="2:24" ht="20.25" customHeight="1" thickBot="1">
      <c r="B8" s="333" t="s">
        <v>144</v>
      </c>
      <c r="C8" s="334"/>
      <c r="D8" s="335"/>
      <c r="E8" s="277" t="s">
        <v>153</v>
      </c>
      <c r="F8" s="277"/>
      <c r="G8" s="277"/>
      <c r="H8" s="277"/>
      <c r="I8" s="277"/>
      <c r="J8" s="277"/>
      <c r="K8" s="277"/>
      <c r="L8" s="277"/>
      <c r="M8" s="277"/>
      <c r="N8" s="277"/>
      <c r="O8" s="278"/>
    </row>
    <row r="9" spans="2:24" ht="20.25" customHeight="1" thickBot="1">
      <c r="B9" s="333" t="s">
        <v>4</v>
      </c>
      <c r="C9" s="334"/>
      <c r="D9" s="335"/>
      <c r="E9" s="356" t="s">
        <v>154</v>
      </c>
      <c r="F9" s="356"/>
      <c r="G9" s="356"/>
      <c r="H9" s="356"/>
      <c r="I9" s="356"/>
      <c r="J9" s="356"/>
      <c r="K9" s="356"/>
      <c r="L9" s="356"/>
      <c r="M9" s="356"/>
      <c r="N9" s="356"/>
      <c r="O9" s="357"/>
    </row>
    <row r="10" spans="2:24" ht="20.25" customHeight="1" thickBot="1">
      <c r="B10" s="333" t="s">
        <v>143</v>
      </c>
      <c r="C10" s="334"/>
      <c r="D10" s="335"/>
      <c r="E10" s="356" t="s">
        <v>155</v>
      </c>
      <c r="F10" s="356"/>
      <c r="G10" s="356"/>
      <c r="H10" s="356"/>
      <c r="I10" s="356"/>
      <c r="J10" s="356"/>
      <c r="K10" s="356"/>
      <c r="L10" s="356"/>
      <c r="M10" s="356"/>
      <c r="N10" s="356"/>
      <c r="O10" s="357"/>
    </row>
    <row r="11" spans="2:24" ht="16.5" customHeight="1">
      <c r="B11" s="340" t="s">
        <v>136</v>
      </c>
      <c r="C11" s="341"/>
      <c r="D11" s="341"/>
      <c r="E11" s="220"/>
      <c r="F11" s="220"/>
      <c r="G11" s="220"/>
      <c r="H11" s="220"/>
      <c r="I11" s="220"/>
      <c r="J11" s="220"/>
      <c r="K11" s="220"/>
      <c r="L11" s="220"/>
      <c r="M11" s="220"/>
      <c r="N11" s="220"/>
      <c r="O11" s="221"/>
    </row>
    <row r="12" spans="2:24" ht="25.5" customHeight="1">
      <c r="B12" s="265" t="s">
        <v>137</v>
      </c>
      <c r="C12" s="266"/>
      <c r="D12" s="266"/>
      <c r="E12" s="266"/>
      <c r="F12" s="266"/>
      <c r="G12" s="266"/>
      <c r="H12" s="266"/>
      <c r="I12" s="266"/>
      <c r="J12" s="266"/>
      <c r="K12" s="266"/>
      <c r="L12" s="266"/>
      <c r="M12" s="266"/>
      <c r="N12" s="266"/>
      <c r="O12" s="267"/>
    </row>
    <row r="13" spans="2:24" ht="16.5" customHeight="1">
      <c r="B13" s="219" t="s">
        <v>12</v>
      </c>
      <c r="C13" s="220"/>
      <c r="D13" s="220"/>
      <c r="E13" s="220"/>
      <c r="F13" s="220"/>
      <c r="G13" s="220"/>
      <c r="H13" s="220"/>
      <c r="I13" s="220"/>
      <c r="J13" s="220"/>
      <c r="K13" s="220"/>
      <c r="L13" s="220"/>
      <c r="M13" s="220"/>
      <c r="N13" s="220"/>
      <c r="O13" s="221"/>
    </row>
    <row r="14" spans="2:24" ht="18.75" customHeight="1">
      <c r="B14" s="244" t="s">
        <v>142</v>
      </c>
      <c r="C14" s="245"/>
      <c r="D14" s="245"/>
      <c r="E14" s="245"/>
      <c r="F14" s="245"/>
      <c r="G14" s="245"/>
      <c r="H14" s="245"/>
      <c r="I14" s="245"/>
      <c r="J14" s="245"/>
      <c r="K14" s="245"/>
      <c r="L14" s="245"/>
      <c r="M14" s="245"/>
      <c r="N14" s="245"/>
      <c r="O14" s="246"/>
    </row>
    <row r="15" spans="2:24" ht="18.75" customHeight="1">
      <c r="B15" s="219" t="s">
        <v>13</v>
      </c>
      <c r="C15" s="220"/>
      <c r="D15" s="220"/>
      <c r="E15" s="220"/>
      <c r="F15" s="220"/>
      <c r="G15" s="220"/>
      <c r="H15" s="220"/>
      <c r="I15" s="220"/>
      <c r="J15" s="220"/>
      <c r="K15" s="220"/>
      <c r="L15" s="220"/>
      <c r="M15" s="220"/>
      <c r="N15" s="220"/>
      <c r="O15" s="221"/>
    </row>
    <row r="16" spans="2:24"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7" t="s">
        <v>156</v>
      </c>
      <c r="C17" s="27">
        <v>0</v>
      </c>
      <c r="D17" s="27">
        <v>0</v>
      </c>
      <c r="E17" s="27">
        <v>0</v>
      </c>
      <c r="F17" s="27">
        <v>0</v>
      </c>
      <c r="G17" s="27">
        <v>0</v>
      </c>
      <c r="H17" s="27">
        <v>28</v>
      </c>
      <c r="I17" s="27">
        <v>30</v>
      </c>
      <c r="J17" s="27">
        <v>0</v>
      </c>
      <c r="K17" s="27"/>
      <c r="L17" s="27"/>
      <c r="M17" s="27"/>
      <c r="N17" s="27"/>
      <c r="O17" s="65"/>
    </row>
    <row r="18" spans="2:15" ht="29.25" customHeight="1">
      <c r="B18" s="97" t="s">
        <v>157</v>
      </c>
      <c r="C18" s="48">
        <v>7</v>
      </c>
      <c r="D18" s="48">
        <v>15</v>
      </c>
      <c r="E18" s="48">
        <v>15</v>
      </c>
      <c r="F18" s="48">
        <v>24</v>
      </c>
      <c r="G18" s="48">
        <v>22</v>
      </c>
      <c r="H18" s="48">
        <v>20</v>
      </c>
      <c r="I18" s="48">
        <v>11</v>
      </c>
      <c r="J18" s="48">
        <v>10</v>
      </c>
      <c r="K18" s="48"/>
      <c r="L18" s="48"/>
      <c r="M18" s="48"/>
      <c r="N18" s="48"/>
      <c r="O18" s="13"/>
    </row>
    <row r="19" spans="2:15" ht="21" customHeight="1">
      <c r="B19" s="96" t="s">
        <v>293</v>
      </c>
      <c r="C19" s="95">
        <f t="shared" ref="C19:M19" si="0">C17/C18*100</f>
        <v>0</v>
      </c>
      <c r="D19" s="95">
        <f t="shared" si="0"/>
        <v>0</v>
      </c>
      <c r="E19" s="95">
        <f t="shared" si="0"/>
        <v>0</v>
      </c>
      <c r="F19" s="95">
        <f t="shared" si="0"/>
        <v>0</v>
      </c>
      <c r="G19" s="95">
        <f t="shared" si="0"/>
        <v>0</v>
      </c>
      <c r="H19" s="95">
        <f t="shared" si="0"/>
        <v>140</v>
      </c>
      <c r="I19" s="95">
        <f t="shared" si="0"/>
        <v>272.72727272727269</v>
      </c>
      <c r="J19" s="95">
        <f t="shared" si="0"/>
        <v>0</v>
      </c>
      <c r="K19" s="95" t="e">
        <f t="shared" si="0"/>
        <v>#DIV/0!</v>
      </c>
      <c r="L19" s="95" t="e">
        <f t="shared" si="0"/>
        <v>#DIV/0!</v>
      </c>
      <c r="M19" s="95" t="e">
        <f t="shared" si="0"/>
        <v>#DIV/0!</v>
      </c>
      <c r="N19" s="95"/>
      <c r="O19" s="95"/>
    </row>
    <row r="20" spans="2:15" ht="21" customHeight="1">
      <c r="B20" s="197" t="s">
        <v>264</v>
      </c>
      <c r="C20" s="198">
        <v>3.4</v>
      </c>
      <c r="D20" s="198">
        <v>15.8</v>
      </c>
      <c r="E20" s="198">
        <v>30.3</v>
      </c>
      <c r="F20" s="198">
        <v>18.8</v>
      </c>
      <c r="G20" s="198">
        <v>18.100000000000001</v>
      </c>
      <c r="H20" s="198">
        <v>4.7</v>
      </c>
      <c r="I20" s="198">
        <v>67.3</v>
      </c>
      <c r="J20" s="198">
        <v>0</v>
      </c>
      <c r="K20" s="198">
        <v>0</v>
      </c>
      <c r="L20" s="198">
        <v>12.2</v>
      </c>
      <c r="M20" s="198">
        <v>0</v>
      </c>
      <c r="N20" s="198">
        <v>3.7</v>
      </c>
      <c r="O20" s="199"/>
    </row>
    <row r="21" spans="2:15" ht="18" customHeight="1" thickBot="1">
      <c r="B21" s="222" t="s">
        <v>28</v>
      </c>
      <c r="C21" s="223"/>
      <c r="D21" s="223"/>
      <c r="E21" s="223"/>
      <c r="F21" s="223"/>
      <c r="G21" s="223"/>
      <c r="H21" s="223"/>
      <c r="I21" s="223"/>
      <c r="J21" s="223"/>
      <c r="K21" s="223"/>
      <c r="L21" s="223"/>
      <c r="M21" s="223"/>
      <c r="N21" s="223"/>
      <c r="O21" s="224"/>
    </row>
    <row r="22" spans="2:15" s="2" customFormat="1" ht="27" customHeight="1">
      <c r="B22" s="225"/>
      <c r="C22" s="225"/>
      <c r="D22" s="225"/>
      <c r="E22" s="225"/>
      <c r="F22" s="225"/>
      <c r="G22" s="225"/>
      <c r="H22" s="225"/>
      <c r="I22" s="225"/>
      <c r="J22" s="225"/>
      <c r="K22" s="225"/>
      <c r="L22" s="225"/>
      <c r="M22" s="225"/>
      <c r="N22" s="225"/>
      <c r="O22" s="225"/>
    </row>
    <row r="23" spans="2:15" s="2" customFormat="1" ht="27" customHeight="1">
      <c r="B23" s="226"/>
      <c r="C23" s="226"/>
      <c r="D23" s="226"/>
      <c r="E23" s="226"/>
      <c r="F23" s="226"/>
      <c r="G23" s="226"/>
      <c r="H23" s="226"/>
      <c r="I23" s="226"/>
      <c r="J23" s="226"/>
      <c r="K23" s="226"/>
      <c r="L23" s="226"/>
      <c r="M23" s="226"/>
      <c r="N23" s="226"/>
      <c r="O23" s="226"/>
    </row>
    <row r="24" spans="2:15" s="2" customFormat="1" ht="27" customHeight="1">
      <c r="B24" s="226"/>
      <c r="C24" s="226"/>
      <c r="D24" s="226"/>
      <c r="E24" s="226"/>
      <c r="F24" s="226"/>
      <c r="G24" s="226"/>
      <c r="H24" s="226"/>
      <c r="I24" s="226"/>
      <c r="J24" s="226"/>
      <c r="K24" s="226"/>
      <c r="L24" s="226"/>
      <c r="M24" s="226"/>
      <c r="N24" s="226"/>
      <c r="O24" s="226"/>
    </row>
    <row r="25" spans="2:15" s="2" customFormat="1" ht="27" customHeight="1">
      <c r="B25" s="226"/>
      <c r="C25" s="226"/>
      <c r="D25" s="226"/>
      <c r="E25" s="226"/>
      <c r="F25" s="226"/>
      <c r="G25" s="226"/>
      <c r="H25" s="226"/>
      <c r="I25" s="226"/>
      <c r="J25" s="226"/>
      <c r="K25" s="226"/>
      <c r="L25" s="226"/>
      <c r="M25" s="226"/>
      <c r="N25" s="226"/>
      <c r="O25" s="226"/>
    </row>
    <row r="26" spans="2:15" s="2" customFormat="1" ht="27" customHeight="1">
      <c r="B26" s="226"/>
      <c r="C26" s="226"/>
      <c r="D26" s="226"/>
      <c r="E26" s="226"/>
      <c r="F26" s="226"/>
      <c r="G26" s="226"/>
      <c r="H26" s="226"/>
      <c r="I26" s="226"/>
      <c r="J26" s="226"/>
      <c r="K26" s="226"/>
      <c r="L26" s="226"/>
      <c r="M26" s="226"/>
      <c r="N26" s="226"/>
      <c r="O26" s="226"/>
    </row>
    <row r="27" spans="2:15" ht="27" customHeight="1">
      <c r="B27" s="226"/>
      <c r="C27" s="226"/>
      <c r="D27" s="226"/>
      <c r="E27" s="226"/>
      <c r="F27" s="226"/>
      <c r="G27" s="226"/>
      <c r="H27" s="226"/>
      <c r="I27" s="226"/>
      <c r="J27" s="226"/>
      <c r="K27" s="226"/>
      <c r="L27" s="226"/>
      <c r="M27" s="226"/>
      <c r="N27" s="226"/>
      <c r="O27" s="226"/>
    </row>
    <row r="28" spans="2:15" ht="27" customHeight="1">
      <c r="B28" s="226"/>
      <c r="C28" s="226"/>
      <c r="D28" s="226"/>
      <c r="E28" s="226"/>
      <c r="F28" s="226"/>
      <c r="G28" s="226"/>
      <c r="H28" s="226"/>
      <c r="I28" s="226"/>
      <c r="J28" s="226"/>
      <c r="K28" s="226"/>
      <c r="L28" s="226"/>
      <c r="M28" s="226"/>
      <c r="N28" s="226"/>
      <c r="O28" s="226"/>
    </row>
    <row r="29" spans="2:15" ht="27" customHeight="1">
      <c r="B29" s="226"/>
      <c r="C29" s="226"/>
      <c r="D29" s="226"/>
      <c r="E29" s="226"/>
      <c r="F29" s="226"/>
      <c r="G29" s="226"/>
      <c r="H29" s="226"/>
      <c r="I29" s="226"/>
      <c r="J29" s="226"/>
      <c r="K29" s="226"/>
      <c r="L29" s="226"/>
      <c r="M29" s="226"/>
      <c r="N29" s="226"/>
      <c r="O29" s="226"/>
    </row>
    <row r="30" spans="2:15" ht="27" customHeight="1">
      <c r="B30" s="226"/>
      <c r="C30" s="226"/>
      <c r="D30" s="226"/>
      <c r="E30" s="226"/>
      <c r="F30" s="226"/>
      <c r="G30" s="226"/>
      <c r="H30" s="226"/>
      <c r="I30" s="226"/>
      <c r="J30" s="226"/>
      <c r="K30" s="226"/>
      <c r="L30" s="226"/>
      <c r="M30" s="226"/>
      <c r="N30" s="226"/>
      <c r="O30" s="226"/>
    </row>
    <row r="31" spans="2:15" ht="27" customHeight="1">
      <c r="B31" s="226"/>
      <c r="C31" s="226"/>
      <c r="D31" s="226"/>
      <c r="E31" s="226"/>
      <c r="F31" s="226"/>
      <c r="G31" s="226"/>
      <c r="H31" s="226"/>
      <c r="I31" s="226"/>
      <c r="J31" s="226"/>
      <c r="K31" s="226"/>
      <c r="L31" s="226"/>
      <c r="M31" s="226"/>
      <c r="N31" s="226"/>
      <c r="O31" s="226"/>
    </row>
    <row r="32" spans="2:15" ht="27" customHeight="1">
      <c r="B32" s="226"/>
      <c r="C32" s="226"/>
      <c r="D32" s="226"/>
      <c r="E32" s="226"/>
      <c r="F32" s="226"/>
      <c r="G32" s="226"/>
      <c r="H32" s="226"/>
      <c r="I32" s="226"/>
      <c r="J32" s="226"/>
      <c r="K32" s="226"/>
      <c r="L32" s="226"/>
      <c r="M32" s="226"/>
      <c r="N32" s="226"/>
      <c r="O32" s="226"/>
    </row>
    <row r="33" spans="2:15" ht="27" customHeight="1">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63.75" customHeight="1">
      <c r="B35" s="386" t="s">
        <v>286</v>
      </c>
      <c r="C35" s="354"/>
      <c r="D35" s="354"/>
      <c r="E35" s="354"/>
      <c r="F35" s="354"/>
      <c r="G35" s="354"/>
      <c r="H35" s="354"/>
      <c r="I35" s="354"/>
      <c r="J35" s="354"/>
      <c r="K35" s="354"/>
      <c r="L35" s="354"/>
      <c r="M35" s="354"/>
      <c r="N35" s="354"/>
      <c r="O35" s="355"/>
    </row>
  </sheetData>
  <sheetProtection pivotTables="0"/>
  <mergeCells count="34">
    <mergeCell ref="V1:X1"/>
    <mergeCell ref="D2:K3"/>
    <mergeCell ref="Q2:S3"/>
    <mergeCell ref="T2:U2"/>
    <mergeCell ref="V2:X2"/>
    <mergeCell ref="T3:U3"/>
    <mergeCell ref="V3:X3"/>
    <mergeCell ref="D1:K1"/>
    <mergeCell ref="L1:O3"/>
    <mergeCell ref="B7:D7"/>
    <mergeCell ref="E7:O7"/>
    <mergeCell ref="B13:O13"/>
    <mergeCell ref="Q1:S1"/>
    <mergeCell ref="T1:U1"/>
    <mergeCell ref="K4:O4"/>
    <mergeCell ref="B5:C5"/>
    <mergeCell ref="B1:C3"/>
    <mergeCell ref="D5:G5"/>
    <mergeCell ref="H5:I5"/>
    <mergeCell ref="J5:N5"/>
    <mergeCell ref="B14:O14"/>
    <mergeCell ref="B8:D8"/>
    <mergeCell ref="E8:O8"/>
    <mergeCell ref="B9:D9"/>
    <mergeCell ref="E9:O9"/>
    <mergeCell ref="B10:D10"/>
    <mergeCell ref="E10:O10"/>
    <mergeCell ref="B11:O11"/>
    <mergeCell ref="B12:O12"/>
    <mergeCell ref="B35:O35"/>
    <mergeCell ref="B15:O15"/>
    <mergeCell ref="B21:O21"/>
    <mergeCell ref="B22:O33"/>
    <mergeCell ref="B34:O34"/>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List!$G$2:$G$17</xm:f>
          </x14:formula1>
          <xm:sqref>D5:G5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1:O35"/>
  <sheetViews>
    <sheetView topLeftCell="A22" zoomScaleNormal="100" workbookViewId="0">
      <selection activeCell="Q19" sqref="Q19"/>
    </sheetView>
  </sheetViews>
  <sheetFormatPr baseColWidth="10" defaultColWidth="11.42578125" defaultRowHeight="12"/>
  <cols>
    <col min="1" max="1" width="4.140625" style="1" customWidth="1"/>
    <col min="2" max="2" width="20.14062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41" width="11.42578125" style="1"/>
    <col min="242" max="242" width="13.5703125" style="1" bestFit="1" customWidth="1"/>
    <col min="243" max="245" width="11.5703125" style="1" bestFit="1" customWidth="1"/>
    <col min="246" max="246" width="7.42578125" style="1" bestFit="1" customWidth="1"/>
    <col min="247" max="247" width="8.42578125" style="1" customWidth="1"/>
    <col min="248" max="248" width="11.85546875" style="1" bestFit="1" customWidth="1"/>
    <col min="249" max="254" width="8" style="1" bestFit="1" customWidth="1"/>
    <col min="255" max="255" width="3" style="1" customWidth="1"/>
    <col min="256" max="497" width="11.42578125" style="1"/>
    <col min="498" max="498" width="13.5703125" style="1" bestFit="1" customWidth="1"/>
    <col min="499" max="501" width="11.5703125" style="1" bestFit="1" customWidth="1"/>
    <col min="502" max="502" width="7.42578125" style="1" bestFit="1" customWidth="1"/>
    <col min="503" max="503" width="8.42578125" style="1" customWidth="1"/>
    <col min="504" max="504" width="11.85546875" style="1" bestFit="1" customWidth="1"/>
    <col min="505" max="510" width="8" style="1" bestFit="1" customWidth="1"/>
    <col min="511" max="511" width="3" style="1" customWidth="1"/>
    <col min="512" max="753" width="11.42578125" style="1"/>
    <col min="754" max="754" width="13.5703125" style="1" bestFit="1" customWidth="1"/>
    <col min="755" max="757" width="11.5703125" style="1" bestFit="1" customWidth="1"/>
    <col min="758" max="758" width="7.42578125" style="1" bestFit="1" customWidth="1"/>
    <col min="759" max="759" width="8.42578125" style="1" customWidth="1"/>
    <col min="760" max="760" width="11.85546875" style="1" bestFit="1" customWidth="1"/>
    <col min="761" max="766" width="8" style="1" bestFit="1" customWidth="1"/>
    <col min="767" max="767" width="3" style="1" customWidth="1"/>
    <col min="768" max="1009" width="11.42578125" style="1"/>
    <col min="1010" max="1010" width="13.5703125" style="1" bestFit="1" customWidth="1"/>
    <col min="1011" max="1013" width="11.5703125" style="1" bestFit="1" customWidth="1"/>
    <col min="1014" max="1014" width="7.42578125" style="1" bestFit="1" customWidth="1"/>
    <col min="1015" max="1015" width="8.42578125" style="1" customWidth="1"/>
    <col min="1016" max="1016" width="11.85546875" style="1" bestFit="1" customWidth="1"/>
    <col min="1017" max="1022" width="8" style="1" bestFit="1" customWidth="1"/>
    <col min="1023" max="1023" width="3" style="1" customWidth="1"/>
    <col min="1024" max="1265" width="11.42578125" style="1"/>
    <col min="1266" max="1266" width="13.5703125" style="1" bestFit="1" customWidth="1"/>
    <col min="1267" max="1269" width="11.5703125" style="1" bestFit="1" customWidth="1"/>
    <col min="1270" max="1270" width="7.42578125" style="1" bestFit="1" customWidth="1"/>
    <col min="1271" max="1271" width="8.42578125" style="1" customWidth="1"/>
    <col min="1272" max="1272" width="11.85546875" style="1" bestFit="1" customWidth="1"/>
    <col min="1273" max="1278" width="8" style="1" bestFit="1" customWidth="1"/>
    <col min="1279" max="1279" width="3" style="1" customWidth="1"/>
    <col min="1280" max="1521" width="11.42578125" style="1"/>
    <col min="1522" max="1522" width="13.5703125" style="1" bestFit="1" customWidth="1"/>
    <col min="1523" max="1525" width="11.5703125" style="1" bestFit="1" customWidth="1"/>
    <col min="1526" max="1526" width="7.42578125" style="1" bestFit="1" customWidth="1"/>
    <col min="1527" max="1527" width="8.42578125" style="1" customWidth="1"/>
    <col min="1528" max="1528" width="11.85546875" style="1" bestFit="1" customWidth="1"/>
    <col min="1529" max="1534" width="8" style="1" bestFit="1" customWidth="1"/>
    <col min="1535" max="1535" width="3" style="1" customWidth="1"/>
    <col min="1536" max="1777" width="11.42578125" style="1"/>
    <col min="1778" max="1778" width="13.5703125" style="1" bestFit="1" customWidth="1"/>
    <col min="1779" max="1781" width="11.5703125" style="1" bestFit="1" customWidth="1"/>
    <col min="1782" max="1782" width="7.42578125" style="1" bestFit="1" customWidth="1"/>
    <col min="1783" max="1783" width="8.42578125" style="1" customWidth="1"/>
    <col min="1784" max="1784" width="11.85546875" style="1" bestFit="1" customWidth="1"/>
    <col min="1785" max="1790" width="8" style="1" bestFit="1" customWidth="1"/>
    <col min="1791" max="1791" width="3" style="1" customWidth="1"/>
    <col min="1792" max="2033" width="11.42578125" style="1"/>
    <col min="2034" max="2034" width="13.5703125" style="1" bestFit="1" customWidth="1"/>
    <col min="2035" max="2037" width="11.5703125" style="1" bestFit="1" customWidth="1"/>
    <col min="2038" max="2038" width="7.42578125" style="1" bestFit="1" customWidth="1"/>
    <col min="2039" max="2039" width="8.42578125" style="1" customWidth="1"/>
    <col min="2040" max="2040" width="11.85546875" style="1" bestFit="1" customWidth="1"/>
    <col min="2041" max="2046" width="8" style="1" bestFit="1" customWidth="1"/>
    <col min="2047" max="2047" width="3" style="1" customWidth="1"/>
    <col min="2048" max="2289" width="11.42578125" style="1"/>
    <col min="2290" max="2290" width="13.5703125" style="1" bestFit="1" customWidth="1"/>
    <col min="2291" max="2293" width="11.5703125" style="1" bestFit="1" customWidth="1"/>
    <col min="2294" max="2294" width="7.42578125" style="1" bestFit="1" customWidth="1"/>
    <col min="2295" max="2295" width="8.42578125" style="1" customWidth="1"/>
    <col min="2296" max="2296" width="11.85546875" style="1" bestFit="1" customWidth="1"/>
    <col min="2297" max="2302" width="8" style="1" bestFit="1" customWidth="1"/>
    <col min="2303" max="2303" width="3" style="1" customWidth="1"/>
    <col min="2304" max="2545" width="11.42578125" style="1"/>
    <col min="2546" max="2546" width="13.5703125" style="1" bestFit="1" customWidth="1"/>
    <col min="2547" max="2549" width="11.5703125" style="1" bestFit="1" customWidth="1"/>
    <col min="2550" max="2550" width="7.42578125" style="1" bestFit="1" customWidth="1"/>
    <col min="2551" max="2551" width="8.42578125" style="1" customWidth="1"/>
    <col min="2552" max="2552" width="11.85546875" style="1" bestFit="1" customWidth="1"/>
    <col min="2553" max="2558" width="8" style="1" bestFit="1" customWidth="1"/>
    <col min="2559" max="2559" width="3" style="1" customWidth="1"/>
    <col min="2560" max="2801" width="11.42578125" style="1"/>
    <col min="2802" max="2802" width="13.5703125" style="1" bestFit="1" customWidth="1"/>
    <col min="2803" max="2805" width="11.5703125" style="1" bestFit="1" customWidth="1"/>
    <col min="2806" max="2806" width="7.42578125" style="1" bestFit="1" customWidth="1"/>
    <col min="2807" max="2807" width="8.42578125" style="1" customWidth="1"/>
    <col min="2808" max="2808" width="11.85546875" style="1" bestFit="1" customWidth="1"/>
    <col min="2809" max="2814" width="8" style="1" bestFit="1" customWidth="1"/>
    <col min="2815" max="2815" width="3" style="1" customWidth="1"/>
    <col min="2816" max="3057" width="11.42578125" style="1"/>
    <col min="3058" max="3058" width="13.5703125" style="1" bestFit="1" customWidth="1"/>
    <col min="3059" max="3061" width="11.5703125" style="1" bestFit="1" customWidth="1"/>
    <col min="3062" max="3062" width="7.42578125" style="1" bestFit="1" customWidth="1"/>
    <col min="3063" max="3063" width="8.42578125" style="1" customWidth="1"/>
    <col min="3064" max="3064" width="11.85546875" style="1" bestFit="1" customWidth="1"/>
    <col min="3065" max="3070" width="8" style="1" bestFit="1" customWidth="1"/>
    <col min="3071" max="3071" width="3" style="1" customWidth="1"/>
    <col min="3072" max="3313" width="11.42578125" style="1"/>
    <col min="3314" max="3314" width="13.5703125" style="1" bestFit="1" customWidth="1"/>
    <col min="3315" max="3317" width="11.5703125" style="1" bestFit="1" customWidth="1"/>
    <col min="3318" max="3318" width="7.42578125" style="1" bestFit="1" customWidth="1"/>
    <col min="3319" max="3319" width="8.42578125" style="1" customWidth="1"/>
    <col min="3320" max="3320" width="11.85546875" style="1" bestFit="1" customWidth="1"/>
    <col min="3321" max="3326" width="8" style="1" bestFit="1" customWidth="1"/>
    <col min="3327" max="3327" width="3" style="1" customWidth="1"/>
    <col min="3328" max="3569" width="11.42578125" style="1"/>
    <col min="3570" max="3570" width="13.5703125" style="1" bestFit="1" customWidth="1"/>
    <col min="3571" max="3573" width="11.5703125" style="1" bestFit="1" customWidth="1"/>
    <col min="3574" max="3574" width="7.42578125" style="1" bestFit="1" customWidth="1"/>
    <col min="3575" max="3575" width="8.42578125" style="1" customWidth="1"/>
    <col min="3576" max="3576" width="11.85546875" style="1" bestFit="1" customWidth="1"/>
    <col min="3577" max="3582" width="8" style="1" bestFit="1" customWidth="1"/>
    <col min="3583" max="3583" width="3" style="1" customWidth="1"/>
    <col min="3584" max="3825" width="11.42578125" style="1"/>
    <col min="3826" max="3826" width="13.5703125" style="1" bestFit="1" customWidth="1"/>
    <col min="3827" max="3829" width="11.5703125" style="1" bestFit="1" customWidth="1"/>
    <col min="3830" max="3830" width="7.42578125" style="1" bestFit="1" customWidth="1"/>
    <col min="3831" max="3831" width="8.42578125" style="1" customWidth="1"/>
    <col min="3832" max="3832" width="11.85546875" style="1" bestFit="1" customWidth="1"/>
    <col min="3833" max="3838" width="8" style="1" bestFit="1" customWidth="1"/>
    <col min="3839" max="3839" width="3" style="1" customWidth="1"/>
    <col min="3840" max="4081" width="11.42578125" style="1"/>
    <col min="4082" max="4082" width="13.5703125" style="1" bestFit="1" customWidth="1"/>
    <col min="4083" max="4085" width="11.5703125" style="1" bestFit="1" customWidth="1"/>
    <col min="4086" max="4086" width="7.42578125" style="1" bestFit="1" customWidth="1"/>
    <col min="4087" max="4087" width="8.42578125" style="1" customWidth="1"/>
    <col min="4088" max="4088" width="11.85546875" style="1" bestFit="1" customWidth="1"/>
    <col min="4089" max="4094" width="8" style="1" bestFit="1" customWidth="1"/>
    <col min="4095" max="4095" width="3" style="1" customWidth="1"/>
    <col min="4096" max="4337" width="11.42578125" style="1"/>
    <col min="4338" max="4338" width="13.5703125" style="1" bestFit="1" customWidth="1"/>
    <col min="4339" max="4341" width="11.5703125" style="1" bestFit="1" customWidth="1"/>
    <col min="4342" max="4342" width="7.42578125" style="1" bestFit="1" customWidth="1"/>
    <col min="4343" max="4343" width="8.42578125" style="1" customWidth="1"/>
    <col min="4344" max="4344" width="11.85546875" style="1" bestFit="1" customWidth="1"/>
    <col min="4345" max="4350" width="8" style="1" bestFit="1" customWidth="1"/>
    <col min="4351" max="4351" width="3" style="1" customWidth="1"/>
    <col min="4352" max="4593" width="11.42578125" style="1"/>
    <col min="4594" max="4594" width="13.5703125" style="1" bestFit="1" customWidth="1"/>
    <col min="4595" max="4597" width="11.5703125" style="1" bestFit="1" customWidth="1"/>
    <col min="4598" max="4598" width="7.42578125" style="1" bestFit="1" customWidth="1"/>
    <col min="4599" max="4599" width="8.42578125" style="1" customWidth="1"/>
    <col min="4600" max="4600" width="11.85546875" style="1" bestFit="1" customWidth="1"/>
    <col min="4601" max="4606" width="8" style="1" bestFit="1" customWidth="1"/>
    <col min="4607" max="4607" width="3" style="1" customWidth="1"/>
    <col min="4608" max="4849" width="11.42578125" style="1"/>
    <col min="4850" max="4850" width="13.5703125" style="1" bestFit="1" customWidth="1"/>
    <col min="4851" max="4853" width="11.5703125" style="1" bestFit="1" customWidth="1"/>
    <col min="4854" max="4854" width="7.42578125" style="1" bestFit="1" customWidth="1"/>
    <col min="4855" max="4855" width="8.42578125" style="1" customWidth="1"/>
    <col min="4856" max="4856" width="11.85546875" style="1" bestFit="1" customWidth="1"/>
    <col min="4857" max="4862" width="8" style="1" bestFit="1" customWidth="1"/>
    <col min="4863" max="4863" width="3" style="1" customWidth="1"/>
    <col min="4864" max="5105" width="11.42578125" style="1"/>
    <col min="5106" max="5106" width="13.5703125" style="1" bestFit="1" customWidth="1"/>
    <col min="5107" max="5109" width="11.5703125" style="1" bestFit="1" customWidth="1"/>
    <col min="5110" max="5110" width="7.42578125" style="1" bestFit="1" customWidth="1"/>
    <col min="5111" max="5111" width="8.42578125" style="1" customWidth="1"/>
    <col min="5112" max="5112" width="11.85546875" style="1" bestFit="1" customWidth="1"/>
    <col min="5113" max="5118" width="8" style="1" bestFit="1" customWidth="1"/>
    <col min="5119" max="5119" width="3" style="1" customWidth="1"/>
    <col min="5120" max="5361" width="11.42578125" style="1"/>
    <col min="5362" max="5362" width="13.5703125" style="1" bestFit="1" customWidth="1"/>
    <col min="5363" max="5365" width="11.5703125" style="1" bestFit="1" customWidth="1"/>
    <col min="5366" max="5366" width="7.42578125" style="1" bestFit="1" customWidth="1"/>
    <col min="5367" max="5367" width="8.42578125" style="1" customWidth="1"/>
    <col min="5368" max="5368" width="11.85546875" style="1" bestFit="1" customWidth="1"/>
    <col min="5369" max="5374" width="8" style="1" bestFit="1" customWidth="1"/>
    <col min="5375" max="5375" width="3" style="1" customWidth="1"/>
    <col min="5376" max="5617" width="11.42578125" style="1"/>
    <col min="5618" max="5618" width="13.5703125" style="1" bestFit="1" customWidth="1"/>
    <col min="5619" max="5621" width="11.5703125" style="1" bestFit="1" customWidth="1"/>
    <col min="5622" max="5622" width="7.42578125" style="1" bestFit="1" customWidth="1"/>
    <col min="5623" max="5623" width="8.42578125" style="1" customWidth="1"/>
    <col min="5624" max="5624" width="11.85546875" style="1" bestFit="1" customWidth="1"/>
    <col min="5625" max="5630" width="8" style="1" bestFit="1" customWidth="1"/>
    <col min="5631" max="5631" width="3" style="1" customWidth="1"/>
    <col min="5632" max="5873" width="11.42578125" style="1"/>
    <col min="5874" max="5874" width="13.5703125" style="1" bestFit="1" customWidth="1"/>
    <col min="5875" max="5877" width="11.5703125" style="1" bestFit="1" customWidth="1"/>
    <col min="5878" max="5878" width="7.42578125" style="1" bestFit="1" customWidth="1"/>
    <col min="5879" max="5879" width="8.42578125" style="1" customWidth="1"/>
    <col min="5880" max="5880" width="11.85546875" style="1" bestFit="1" customWidth="1"/>
    <col min="5881" max="5886" width="8" style="1" bestFit="1" customWidth="1"/>
    <col min="5887" max="5887" width="3" style="1" customWidth="1"/>
    <col min="5888" max="6129" width="11.42578125" style="1"/>
    <col min="6130" max="6130" width="13.5703125" style="1" bestFit="1" customWidth="1"/>
    <col min="6131" max="6133" width="11.5703125" style="1" bestFit="1" customWidth="1"/>
    <col min="6134" max="6134" width="7.42578125" style="1" bestFit="1" customWidth="1"/>
    <col min="6135" max="6135" width="8.42578125" style="1" customWidth="1"/>
    <col min="6136" max="6136" width="11.85546875" style="1" bestFit="1" customWidth="1"/>
    <col min="6137" max="6142" width="8" style="1" bestFit="1" customWidth="1"/>
    <col min="6143" max="6143" width="3" style="1" customWidth="1"/>
    <col min="6144" max="6385" width="11.42578125" style="1"/>
    <col min="6386" max="6386" width="13.5703125" style="1" bestFit="1" customWidth="1"/>
    <col min="6387" max="6389" width="11.5703125" style="1" bestFit="1" customWidth="1"/>
    <col min="6390" max="6390" width="7.42578125" style="1" bestFit="1" customWidth="1"/>
    <col min="6391" max="6391" width="8.42578125" style="1" customWidth="1"/>
    <col min="6392" max="6392" width="11.85546875" style="1" bestFit="1" customWidth="1"/>
    <col min="6393" max="6398" width="8" style="1" bestFit="1" customWidth="1"/>
    <col min="6399" max="6399" width="3" style="1" customWidth="1"/>
    <col min="6400" max="6641" width="11.42578125" style="1"/>
    <col min="6642" max="6642" width="13.5703125" style="1" bestFit="1" customWidth="1"/>
    <col min="6643" max="6645" width="11.5703125" style="1" bestFit="1" customWidth="1"/>
    <col min="6646" max="6646" width="7.42578125" style="1" bestFit="1" customWidth="1"/>
    <col min="6647" max="6647" width="8.42578125" style="1" customWidth="1"/>
    <col min="6648" max="6648" width="11.85546875" style="1" bestFit="1" customWidth="1"/>
    <col min="6649" max="6654" width="8" style="1" bestFit="1" customWidth="1"/>
    <col min="6655" max="6655" width="3" style="1" customWidth="1"/>
    <col min="6656" max="6897" width="11.42578125" style="1"/>
    <col min="6898" max="6898" width="13.5703125" style="1" bestFit="1" customWidth="1"/>
    <col min="6899" max="6901" width="11.5703125" style="1" bestFit="1" customWidth="1"/>
    <col min="6902" max="6902" width="7.42578125" style="1" bestFit="1" customWidth="1"/>
    <col min="6903" max="6903" width="8.42578125" style="1" customWidth="1"/>
    <col min="6904" max="6904" width="11.85546875" style="1" bestFit="1" customWidth="1"/>
    <col min="6905" max="6910" width="8" style="1" bestFit="1" customWidth="1"/>
    <col min="6911" max="6911" width="3" style="1" customWidth="1"/>
    <col min="6912" max="7153" width="11.42578125" style="1"/>
    <col min="7154" max="7154" width="13.5703125" style="1" bestFit="1" customWidth="1"/>
    <col min="7155" max="7157" width="11.5703125" style="1" bestFit="1" customWidth="1"/>
    <col min="7158" max="7158" width="7.42578125" style="1" bestFit="1" customWidth="1"/>
    <col min="7159" max="7159" width="8.42578125" style="1" customWidth="1"/>
    <col min="7160" max="7160" width="11.85546875" style="1" bestFit="1" customWidth="1"/>
    <col min="7161" max="7166" width="8" style="1" bestFit="1" customWidth="1"/>
    <col min="7167" max="7167" width="3" style="1" customWidth="1"/>
    <col min="7168" max="7409" width="11.42578125" style="1"/>
    <col min="7410" max="7410" width="13.5703125" style="1" bestFit="1" customWidth="1"/>
    <col min="7411" max="7413" width="11.5703125" style="1" bestFit="1" customWidth="1"/>
    <col min="7414" max="7414" width="7.42578125" style="1" bestFit="1" customWidth="1"/>
    <col min="7415" max="7415" width="8.42578125" style="1" customWidth="1"/>
    <col min="7416" max="7416" width="11.85546875" style="1" bestFit="1" customWidth="1"/>
    <col min="7417" max="7422" width="8" style="1" bestFit="1" customWidth="1"/>
    <col min="7423" max="7423" width="3" style="1" customWidth="1"/>
    <col min="7424" max="7665" width="11.42578125" style="1"/>
    <col min="7666" max="7666" width="13.5703125" style="1" bestFit="1" customWidth="1"/>
    <col min="7667" max="7669" width="11.5703125" style="1" bestFit="1" customWidth="1"/>
    <col min="7670" max="7670" width="7.42578125" style="1" bestFit="1" customWidth="1"/>
    <col min="7671" max="7671" width="8.42578125" style="1" customWidth="1"/>
    <col min="7672" max="7672" width="11.85546875" style="1" bestFit="1" customWidth="1"/>
    <col min="7673" max="7678" width="8" style="1" bestFit="1" customWidth="1"/>
    <col min="7679" max="7679" width="3" style="1" customWidth="1"/>
    <col min="7680" max="7921" width="11.42578125" style="1"/>
    <col min="7922" max="7922" width="13.5703125" style="1" bestFit="1" customWidth="1"/>
    <col min="7923" max="7925" width="11.5703125" style="1" bestFit="1" customWidth="1"/>
    <col min="7926" max="7926" width="7.42578125" style="1" bestFit="1" customWidth="1"/>
    <col min="7927" max="7927" width="8.42578125" style="1" customWidth="1"/>
    <col min="7928" max="7928" width="11.85546875" style="1" bestFit="1" customWidth="1"/>
    <col min="7929" max="7934" width="8" style="1" bestFit="1" customWidth="1"/>
    <col min="7935" max="7935" width="3" style="1" customWidth="1"/>
    <col min="7936" max="8177" width="11.42578125" style="1"/>
    <col min="8178" max="8178" width="13.5703125" style="1" bestFit="1" customWidth="1"/>
    <col min="8179" max="8181" width="11.5703125" style="1" bestFit="1" customWidth="1"/>
    <col min="8182" max="8182" width="7.42578125" style="1" bestFit="1" customWidth="1"/>
    <col min="8183" max="8183" width="8.42578125" style="1" customWidth="1"/>
    <col min="8184" max="8184" width="11.85546875" style="1" bestFit="1" customWidth="1"/>
    <col min="8185" max="8190" width="8" style="1" bestFit="1" customWidth="1"/>
    <col min="8191" max="8191" width="3" style="1" customWidth="1"/>
    <col min="8192" max="8433" width="11.42578125" style="1"/>
    <col min="8434" max="8434" width="13.5703125" style="1" bestFit="1" customWidth="1"/>
    <col min="8435" max="8437" width="11.5703125" style="1" bestFit="1" customWidth="1"/>
    <col min="8438" max="8438" width="7.42578125" style="1" bestFit="1" customWidth="1"/>
    <col min="8439" max="8439" width="8.42578125" style="1" customWidth="1"/>
    <col min="8440" max="8440" width="11.85546875" style="1" bestFit="1" customWidth="1"/>
    <col min="8441" max="8446" width="8" style="1" bestFit="1" customWidth="1"/>
    <col min="8447" max="8447" width="3" style="1" customWidth="1"/>
    <col min="8448" max="8689" width="11.42578125" style="1"/>
    <col min="8690" max="8690" width="13.5703125" style="1" bestFit="1" customWidth="1"/>
    <col min="8691" max="8693" width="11.5703125" style="1" bestFit="1" customWidth="1"/>
    <col min="8694" max="8694" width="7.42578125" style="1" bestFit="1" customWidth="1"/>
    <col min="8695" max="8695" width="8.42578125" style="1" customWidth="1"/>
    <col min="8696" max="8696" width="11.85546875" style="1" bestFit="1" customWidth="1"/>
    <col min="8697" max="8702" width="8" style="1" bestFit="1" customWidth="1"/>
    <col min="8703" max="8703" width="3" style="1" customWidth="1"/>
    <col min="8704" max="8945" width="11.42578125" style="1"/>
    <col min="8946" max="8946" width="13.5703125" style="1" bestFit="1" customWidth="1"/>
    <col min="8947" max="8949" width="11.5703125" style="1" bestFit="1" customWidth="1"/>
    <col min="8950" max="8950" width="7.42578125" style="1" bestFit="1" customWidth="1"/>
    <col min="8951" max="8951" width="8.42578125" style="1" customWidth="1"/>
    <col min="8952" max="8952" width="11.85546875" style="1" bestFit="1" customWidth="1"/>
    <col min="8953" max="8958" width="8" style="1" bestFit="1" customWidth="1"/>
    <col min="8959" max="8959" width="3" style="1" customWidth="1"/>
    <col min="8960" max="9201" width="11.42578125" style="1"/>
    <col min="9202" max="9202" width="13.5703125" style="1" bestFit="1" customWidth="1"/>
    <col min="9203" max="9205" width="11.5703125" style="1" bestFit="1" customWidth="1"/>
    <col min="9206" max="9206" width="7.42578125" style="1" bestFit="1" customWidth="1"/>
    <col min="9207" max="9207" width="8.42578125" style="1" customWidth="1"/>
    <col min="9208" max="9208" width="11.85546875" style="1" bestFit="1" customWidth="1"/>
    <col min="9209" max="9214" width="8" style="1" bestFit="1" customWidth="1"/>
    <col min="9215" max="9215" width="3" style="1" customWidth="1"/>
    <col min="9216" max="9457" width="11.42578125" style="1"/>
    <col min="9458" max="9458" width="13.5703125" style="1" bestFit="1" customWidth="1"/>
    <col min="9459" max="9461" width="11.5703125" style="1" bestFit="1" customWidth="1"/>
    <col min="9462" max="9462" width="7.42578125" style="1" bestFit="1" customWidth="1"/>
    <col min="9463" max="9463" width="8.42578125" style="1" customWidth="1"/>
    <col min="9464" max="9464" width="11.85546875" style="1" bestFit="1" customWidth="1"/>
    <col min="9465" max="9470" width="8" style="1" bestFit="1" customWidth="1"/>
    <col min="9471" max="9471" width="3" style="1" customWidth="1"/>
    <col min="9472" max="9713" width="11.42578125" style="1"/>
    <col min="9714" max="9714" width="13.5703125" style="1" bestFit="1" customWidth="1"/>
    <col min="9715" max="9717" width="11.5703125" style="1" bestFit="1" customWidth="1"/>
    <col min="9718" max="9718" width="7.42578125" style="1" bestFit="1" customWidth="1"/>
    <col min="9719" max="9719" width="8.42578125" style="1" customWidth="1"/>
    <col min="9720" max="9720" width="11.85546875" style="1" bestFit="1" customWidth="1"/>
    <col min="9721" max="9726" width="8" style="1" bestFit="1" customWidth="1"/>
    <col min="9727" max="9727" width="3" style="1" customWidth="1"/>
    <col min="9728" max="9969" width="11.42578125" style="1"/>
    <col min="9970" max="9970" width="13.5703125" style="1" bestFit="1" customWidth="1"/>
    <col min="9971" max="9973" width="11.5703125" style="1" bestFit="1" customWidth="1"/>
    <col min="9974" max="9974" width="7.42578125" style="1" bestFit="1" customWidth="1"/>
    <col min="9975" max="9975" width="8.42578125" style="1" customWidth="1"/>
    <col min="9976" max="9976" width="11.85546875" style="1" bestFit="1" customWidth="1"/>
    <col min="9977" max="9982" width="8" style="1" bestFit="1" customWidth="1"/>
    <col min="9983" max="9983" width="3" style="1" customWidth="1"/>
    <col min="9984" max="10225" width="11.42578125" style="1"/>
    <col min="10226" max="10226" width="13.5703125" style="1" bestFit="1" customWidth="1"/>
    <col min="10227" max="10229" width="11.5703125" style="1" bestFit="1" customWidth="1"/>
    <col min="10230" max="10230" width="7.42578125" style="1" bestFit="1" customWidth="1"/>
    <col min="10231" max="10231" width="8.42578125" style="1" customWidth="1"/>
    <col min="10232" max="10232" width="11.85546875" style="1" bestFit="1" customWidth="1"/>
    <col min="10233" max="10238" width="8" style="1" bestFit="1" customWidth="1"/>
    <col min="10239" max="10239" width="3" style="1" customWidth="1"/>
    <col min="10240" max="10481" width="11.42578125" style="1"/>
    <col min="10482" max="10482" width="13.5703125" style="1" bestFit="1" customWidth="1"/>
    <col min="10483" max="10485" width="11.5703125" style="1" bestFit="1" customWidth="1"/>
    <col min="10486" max="10486" width="7.42578125" style="1" bestFit="1" customWidth="1"/>
    <col min="10487" max="10487" width="8.42578125" style="1" customWidth="1"/>
    <col min="10488" max="10488" width="11.85546875" style="1" bestFit="1" customWidth="1"/>
    <col min="10489" max="10494" width="8" style="1" bestFit="1" customWidth="1"/>
    <col min="10495" max="10495" width="3" style="1" customWidth="1"/>
    <col min="10496" max="10737" width="11.42578125" style="1"/>
    <col min="10738" max="10738" width="13.5703125" style="1" bestFit="1" customWidth="1"/>
    <col min="10739" max="10741" width="11.5703125" style="1" bestFit="1" customWidth="1"/>
    <col min="10742" max="10742" width="7.42578125" style="1" bestFit="1" customWidth="1"/>
    <col min="10743" max="10743" width="8.42578125" style="1" customWidth="1"/>
    <col min="10744" max="10744" width="11.85546875" style="1" bestFit="1" customWidth="1"/>
    <col min="10745" max="10750" width="8" style="1" bestFit="1" customWidth="1"/>
    <col min="10751" max="10751" width="3" style="1" customWidth="1"/>
    <col min="10752" max="10993" width="11.42578125" style="1"/>
    <col min="10994" max="10994" width="13.5703125" style="1" bestFit="1" customWidth="1"/>
    <col min="10995" max="10997" width="11.5703125" style="1" bestFit="1" customWidth="1"/>
    <col min="10998" max="10998" width="7.42578125" style="1" bestFit="1" customWidth="1"/>
    <col min="10999" max="10999" width="8.42578125" style="1" customWidth="1"/>
    <col min="11000" max="11000" width="11.85546875" style="1" bestFit="1" customWidth="1"/>
    <col min="11001" max="11006" width="8" style="1" bestFit="1" customWidth="1"/>
    <col min="11007" max="11007" width="3" style="1" customWidth="1"/>
    <col min="11008" max="11249" width="11.42578125" style="1"/>
    <col min="11250" max="11250" width="13.5703125" style="1" bestFit="1" customWidth="1"/>
    <col min="11251" max="11253" width="11.5703125" style="1" bestFit="1" customWidth="1"/>
    <col min="11254" max="11254" width="7.42578125" style="1" bestFit="1" customWidth="1"/>
    <col min="11255" max="11255" width="8.42578125" style="1" customWidth="1"/>
    <col min="11256" max="11256" width="11.85546875" style="1" bestFit="1" customWidth="1"/>
    <col min="11257" max="11262" width="8" style="1" bestFit="1" customWidth="1"/>
    <col min="11263" max="11263" width="3" style="1" customWidth="1"/>
    <col min="11264" max="11505" width="11.42578125" style="1"/>
    <col min="11506" max="11506" width="13.5703125" style="1" bestFit="1" customWidth="1"/>
    <col min="11507" max="11509" width="11.5703125" style="1" bestFit="1" customWidth="1"/>
    <col min="11510" max="11510" width="7.42578125" style="1" bestFit="1" customWidth="1"/>
    <col min="11511" max="11511" width="8.42578125" style="1" customWidth="1"/>
    <col min="11512" max="11512" width="11.85546875" style="1" bestFit="1" customWidth="1"/>
    <col min="11513" max="11518" width="8" style="1" bestFit="1" customWidth="1"/>
    <col min="11519" max="11519" width="3" style="1" customWidth="1"/>
    <col min="11520" max="11761" width="11.42578125" style="1"/>
    <col min="11762" max="11762" width="13.5703125" style="1" bestFit="1" customWidth="1"/>
    <col min="11763" max="11765" width="11.5703125" style="1" bestFit="1" customWidth="1"/>
    <col min="11766" max="11766" width="7.42578125" style="1" bestFit="1" customWidth="1"/>
    <col min="11767" max="11767" width="8.42578125" style="1" customWidth="1"/>
    <col min="11768" max="11768" width="11.85546875" style="1" bestFit="1" customWidth="1"/>
    <col min="11769" max="11774" width="8" style="1" bestFit="1" customWidth="1"/>
    <col min="11775" max="11775" width="3" style="1" customWidth="1"/>
    <col min="11776" max="12017" width="11.42578125" style="1"/>
    <col min="12018" max="12018" width="13.5703125" style="1" bestFit="1" customWidth="1"/>
    <col min="12019" max="12021" width="11.5703125" style="1" bestFit="1" customWidth="1"/>
    <col min="12022" max="12022" width="7.42578125" style="1" bestFit="1" customWidth="1"/>
    <col min="12023" max="12023" width="8.42578125" style="1" customWidth="1"/>
    <col min="12024" max="12024" width="11.85546875" style="1" bestFit="1" customWidth="1"/>
    <col min="12025" max="12030" width="8" style="1" bestFit="1" customWidth="1"/>
    <col min="12031" max="12031" width="3" style="1" customWidth="1"/>
    <col min="12032" max="12273" width="11.42578125" style="1"/>
    <col min="12274" max="12274" width="13.5703125" style="1" bestFit="1" customWidth="1"/>
    <col min="12275" max="12277" width="11.5703125" style="1" bestFit="1" customWidth="1"/>
    <col min="12278" max="12278" width="7.42578125" style="1" bestFit="1" customWidth="1"/>
    <col min="12279" max="12279" width="8.42578125" style="1" customWidth="1"/>
    <col min="12280" max="12280" width="11.85546875" style="1" bestFit="1" customWidth="1"/>
    <col min="12281" max="12286" width="8" style="1" bestFit="1" customWidth="1"/>
    <col min="12287" max="12287" width="3" style="1" customWidth="1"/>
    <col min="12288" max="12529" width="11.42578125" style="1"/>
    <col min="12530" max="12530" width="13.5703125" style="1" bestFit="1" customWidth="1"/>
    <col min="12531" max="12533" width="11.5703125" style="1" bestFit="1" customWidth="1"/>
    <col min="12534" max="12534" width="7.42578125" style="1" bestFit="1" customWidth="1"/>
    <col min="12535" max="12535" width="8.42578125" style="1" customWidth="1"/>
    <col min="12536" max="12536" width="11.85546875" style="1" bestFit="1" customWidth="1"/>
    <col min="12537" max="12542" width="8" style="1" bestFit="1" customWidth="1"/>
    <col min="12543" max="12543" width="3" style="1" customWidth="1"/>
    <col min="12544" max="12785" width="11.42578125" style="1"/>
    <col min="12786" max="12786" width="13.5703125" style="1" bestFit="1" customWidth="1"/>
    <col min="12787" max="12789" width="11.5703125" style="1" bestFit="1" customWidth="1"/>
    <col min="12790" max="12790" width="7.42578125" style="1" bestFit="1" customWidth="1"/>
    <col min="12791" max="12791" width="8.42578125" style="1" customWidth="1"/>
    <col min="12792" max="12792" width="11.85546875" style="1" bestFit="1" customWidth="1"/>
    <col min="12793" max="12798" width="8" style="1" bestFit="1" customWidth="1"/>
    <col min="12799" max="12799" width="3" style="1" customWidth="1"/>
    <col min="12800" max="13041" width="11.42578125" style="1"/>
    <col min="13042" max="13042" width="13.5703125" style="1" bestFit="1" customWidth="1"/>
    <col min="13043" max="13045" width="11.5703125" style="1" bestFit="1" customWidth="1"/>
    <col min="13046" max="13046" width="7.42578125" style="1" bestFit="1" customWidth="1"/>
    <col min="13047" max="13047" width="8.42578125" style="1" customWidth="1"/>
    <col min="13048" max="13048" width="11.85546875" style="1" bestFit="1" customWidth="1"/>
    <col min="13049" max="13054" width="8" style="1" bestFit="1" customWidth="1"/>
    <col min="13055" max="13055" width="3" style="1" customWidth="1"/>
    <col min="13056" max="13297" width="11.42578125" style="1"/>
    <col min="13298" max="13298" width="13.5703125" style="1" bestFit="1" customWidth="1"/>
    <col min="13299" max="13301" width="11.5703125" style="1" bestFit="1" customWidth="1"/>
    <col min="13302" max="13302" width="7.42578125" style="1" bestFit="1" customWidth="1"/>
    <col min="13303" max="13303" width="8.42578125" style="1" customWidth="1"/>
    <col min="13304" max="13304" width="11.85546875" style="1" bestFit="1" customWidth="1"/>
    <col min="13305" max="13310" width="8" style="1" bestFit="1" customWidth="1"/>
    <col min="13311" max="13311" width="3" style="1" customWidth="1"/>
    <col min="13312" max="13553" width="11.42578125" style="1"/>
    <col min="13554" max="13554" width="13.5703125" style="1" bestFit="1" customWidth="1"/>
    <col min="13555" max="13557" width="11.5703125" style="1" bestFit="1" customWidth="1"/>
    <col min="13558" max="13558" width="7.42578125" style="1" bestFit="1" customWidth="1"/>
    <col min="13559" max="13559" width="8.42578125" style="1" customWidth="1"/>
    <col min="13560" max="13560" width="11.85546875" style="1" bestFit="1" customWidth="1"/>
    <col min="13561" max="13566" width="8" style="1" bestFit="1" customWidth="1"/>
    <col min="13567" max="13567" width="3" style="1" customWidth="1"/>
    <col min="13568" max="13809" width="11.42578125" style="1"/>
    <col min="13810" max="13810" width="13.5703125" style="1" bestFit="1" customWidth="1"/>
    <col min="13811" max="13813" width="11.5703125" style="1" bestFit="1" customWidth="1"/>
    <col min="13814" max="13814" width="7.42578125" style="1" bestFit="1" customWidth="1"/>
    <col min="13815" max="13815" width="8.42578125" style="1" customWidth="1"/>
    <col min="13816" max="13816" width="11.85546875" style="1" bestFit="1" customWidth="1"/>
    <col min="13817" max="13822" width="8" style="1" bestFit="1" customWidth="1"/>
    <col min="13823" max="13823" width="3" style="1" customWidth="1"/>
    <col min="13824" max="14065" width="11.42578125" style="1"/>
    <col min="14066" max="14066" width="13.5703125" style="1" bestFit="1" customWidth="1"/>
    <col min="14067" max="14069" width="11.5703125" style="1" bestFit="1" customWidth="1"/>
    <col min="14070" max="14070" width="7.42578125" style="1" bestFit="1" customWidth="1"/>
    <col min="14071" max="14071" width="8.42578125" style="1" customWidth="1"/>
    <col min="14072" max="14072" width="11.85546875" style="1" bestFit="1" customWidth="1"/>
    <col min="14073" max="14078" width="8" style="1" bestFit="1" customWidth="1"/>
    <col min="14079" max="14079" width="3" style="1" customWidth="1"/>
    <col min="14080" max="14321" width="11.42578125" style="1"/>
    <col min="14322" max="14322" width="13.5703125" style="1" bestFit="1" customWidth="1"/>
    <col min="14323" max="14325" width="11.5703125" style="1" bestFit="1" customWidth="1"/>
    <col min="14326" max="14326" width="7.42578125" style="1" bestFit="1" customWidth="1"/>
    <col min="14327" max="14327" width="8.42578125" style="1" customWidth="1"/>
    <col min="14328" max="14328" width="11.85546875" style="1" bestFit="1" customWidth="1"/>
    <col min="14329" max="14334" width="8" style="1" bestFit="1" customWidth="1"/>
    <col min="14335" max="14335" width="3" style="1" customWidth="1"/>
    <col min="14336" max="14577" width="11.42578125" style="1"/>
    <col min="14578" max="14578" width="13.5703125" style="1" bestFit="1" customWidth="1"/>
    <col min="14579" max="14581" width="11.5703125" style="1" bestFit="1" customWidth="1"/>
    <col min="14582" max="14582" width="7.42578125" style="1" bestFit="1" customWidth="1"/>
    <col min="14583" max="14583" width="8.42578125" style="1" customWidth="1"/>
    <col min="14584" max="14584" width="11.85546875" style="1" bestFit="1" customWidth="1"/>
    <col min="14585" max="14590" width="8" style="1" bestFit="1" customWidth="1"/>
    <col min="14591" max="14591" width="3" style="1" customWidth="1"/>
    <col min="14592" max="14833" width="11.42578125" style="1"/>
    <col min="14834" max="14834" width="13.5703125" style="1" bestFit="1" customWidth="1"/>
    <col min="14835" max="14837" width="11.5703125" style="1" bestFit="1" customWidth="1"/>
    <col min="14838" max="14838" width="7.42578125" style="1" bestFit="1" customWidth="1"/>
    <col min="14839" max="14839" width="8.42578125" style="1" customWidth="1"/>
    <col min="14840" max="14840" width="11.85546875" style="1" bestFit="1" customWidth="1"/>
    <col min="14841" max="14846" width="8" style="1" bestFit="1" customWidth="1"/>
    <col min="14847" max="14847" width="3" style="1" customWidth="1"/>
    <col min="14848" max="15089" width="11.42578125" style="1"/>
    <col min="15090" max="15090" width="13.5703125" style="1" bestFit="1" customWidth="1"/>
    <col min="15091" max="15093" width="11.5703125" style="1" bestFit="1" customWidth="1"/>
    <col min="15094" max="15094" width="7.42578125" style="1" bestFit="1" customWidth="1"/>
    <col min="15095" max="15095" width="8.42578125" style="1" customWidth="1"/>
    <col min="15096" max="15096" width="11.85546875" style="1" bestFit="1" customWidth="1"/>
    <col min="15097" max="15102" width="8" style="1" bestFit="1" customWidth="1"/>
    <col min="15103" max="15103" width="3" style="1" customWidth="1"/>
    <col min="15104" max="15345" width="11.42578125" style="1"/>
    <col min="15346" max="15346" width="13.5703125" style="1" bestFit="1" customWidth="1"/>
    <col min="15347" max="15349" width="11.5703125" style="1" bestFit="1" customWidth="1"/>
    <col min="15350" max="15350" width="7.42578125" style="1" bestFit="1" customWidth="1"/>
    <col min="15351" max="15351" width="8.42578125" style="1" customWidth="1"/>
    <col min="15352" max="15352" width="11.85546875" style="1" bestFit="1" customWidth="1"/>
    <col min="15353" max="15358" width="8" style="1" bestFit="1" customWidth="1"/>
    <col min="15359" max="15359" width="3" style="1" customWidth="1"/>
    <col min="15360" max="15601" width="11.42578125" style="1"/>
    <col min="15602" max="15602" width="13.5703125" style="1" bestFit="1" customWidth="1"/>
    <col min="15603" max="15605" width="11.5703125" style="1" bestFit="1" customWidth="1"/>
    <col min="15606" max="15606" width="7.42578125" style="1" bestFit="1" customWidth="1"/>
    <col min="15607" max="15607" width="8.42578125" style="1" customWidth="1"/>
    <col min="15608" max="15608" width="11.85546875" style="1" bestFit="1" customWidth="1"/>
    <col min="15609" max="15614" width="8" style="1" bestFit="1" customWidth="1"/>
    <col min="15615" max="15615" width="3" style="1" customWidth="1"/>
    <col min="15616" max="15857" width="11.42578125" style="1"/>
    <col min="15858" max="15858" width="13.5703125" style="1" bestFit="1" customWidth="1"/>
    <col min="15859" max="15861" width="11.5703125" style="1" bestFit="1" customWidth="1"/>
    <col min="15862" max="15862" width="7.42578125" style="1" bestFit="1" customWidth="1"/>
    <col min="15863" max="15863" width="8.42578125" style="1" customWidth="1"/>
    <col min="15864" max="15864" width="11.85546875" style="1" bestFit="1" customWidth="1"/>
    <col min="15865" max="15870" width="8" style="1" bestFit="1" customWidth="1"/>
    <col min="15871" max="15871" width="3" style="1" customWidth="1"/>
    <col min="15872" max="16113" width="11.42578125" style="1"/>
    <col min="16114" max="16114" width="13.5703125" style="1" bestFit="1" customWidth="1"/>
    <col min="16115" max="16117" width="11.5703125" style="1" bestFit="1" customWidth="1"/>
    <col min="16118" max="16118" width="7.42578125" style="1" bestFit="1" customWidth="1"/>
    <col min="16119" max="16119" width="8.42578125" style="1" customWidth="1"/>
    <col min="16120" max="16120" width="11.85546875" style="1" bestFit="1" customWidth="1"/>
    <col min="16121" max="16126" width="8" style="1" bestFit="1" customWidth="1"/>
    <col min="16127" max="16127" width="3" style="1" customWidth="1"/>
    <col min="16128" max="16384" width="11.42578125" style="1"/>
  </cols>
  <sheetData>
    <row r="1" spans="2:15" ht="25.5" customHeight="1">
      <c r="B1" s="290"/>
      <c r="C1" s="291"/>
      <c r="D1" s="310" t="s">
        <v>32</v>
      </c>
      <c r="E1" s="311"/>
      <c r="F1" s="311"/>
      <c r="G1" s="311"/>
      <c r="H1" s="311"/>
      <c r="I1" s="311"/>
      <c r="J1" s="311"/>
      <c r="K1" s="312"/>
      <c r="L1" s="342"/>
      <c r="M1" s="343"/>
      <c r="N1" s="343"/>
      <c r="O1" s="344"/>
    </row>
    <row r="2" spans="2:15" ht="25.5" customHeight="1">
      <c r="B2" s="292"/>
      <c r="C2" s="293"/>
      <c r="D2" s="297" t="s">
        <v>31</v>
      </c>
      <c r="E2" s="298"/>
      <c r="F2" s="298"/>
      <c r="G2" s="298"/>
      <c r="H2" s="298"/>
      <c r="I2" s="298"/>
      <c r="J2" s="298"/>
      <c r="K2" s="299"/>
      <c r="L2" s="345"/>
      <c r="M2" s="346"/>
      <c r="N2" s="346"/>
      <c r="O2" s="347"/>
    </row>
    <row r="3" spans="2:15" ht="25.5" customHeight="1">
      <c r="B3" s="294"/>
      <c r="C3" s="295"/>
      <c r="D3" s="300"/>
      <c r="E3" s="301"/>
      <c r="F3" s="301"/>
      <c r="G3" s="301"/>
      <c r="H3" s="301"/>
      <c r="I3" s="301"/>
      <c r="J3" s="301"/>
      <c r="K3" s="302"/>
      <c r="L3" s="348"/>
      <c r="M3" s="349"/>
      <c r="N3" s="349"/>
      <c r="O3" s="350"/>
    </row>
    <row r="4" spans="2:15" ht="12.75" customHeight="1">
      <c r="B4" s="5"/>
      <c r="K4" s="284"/>
      <c r="L4" s="284"/>
      <c r="M4" s="284"/>
      <c r="N4" s="284"/>
      <c r="O4" s="285"/>
    </row>
    <row r="5" spans="2:15" ht="15" customHeight="1">
      <c r="B5" s="286" t="s">
        <v>0</v>
      </c>
      <c r="C5" s="287"/>
      <c r="D5" s="351" t="s">
        <v>269</v>
      </c>
      <c r="E5" s="351"/>
      <c r="F5" s="351"/>
      <c r="G5" s="351"/>
      <c r="H5" s="287" t="s">
        <v>1</v>
      </c>
      <c r="I5" s="287"/>
      <c r="J5" s="289" t="s">
        <v>141</v>
      </c>
      <c r="K5" s="289"/>
      <c r="L5" s="289"/>
      <c r="M5" s="289"/>
      <c r="N5" s="289"/>
      <c r="O5" s="9"/>
    </row>
    <row r="6" spans="2:15" ht="14.25" customHeight="1" thickBot="1">
      <c r="B6" s="92"/>
      <c r="C6" s="93"/>
      <c r="D6" s="93"/>
      <c r="E6" s="7"/>
      <c r="F6" s="7"/>
      <c r="G6" s="7"/>
      <c r="H6" s="7"/>
      <c r="I6" s="7"/>
      <c r="J6" s="7"/>
      <c r="K6" s="7"/>
      <c r="L6" s="7"/>
      <c r="M6" s="7"/>
      <c r="N6" s="7"/>
      <c r="O6" s="8"/>
    </row>
    <row r="7" spans="2:15" ht="20.25" customHeight="1" thickBot="1">
      <c r="B7" s="333" t="s">
        <v>2</v>
      </c>
      <c r="C7" s="334"/>
      <c r="D7" s="335"/>
      <c r="E7" s="277" t="s">
        <v>152</v>
      </c>
      <c r="F7" s="277"/>
      <c r="G7" s="277"/>
      <c r="H7" s="277"/>
      <c r="I7" s="277"/>
      <c r="J7" s="277"/>
      <c r="K7" s="277"/>
      <c r="L7" s="277"/>
      <c r="M7" s="277"/>
      <c r="N7" s="277"/>
      <c r="O7" s="278"/>
    </row>
    <row r="8" spans="2:15" ht="20.25" customHeight="1" thickBot="1">
      <c r="B8" s="333" t="s">
        <v>144</v>
      </c>
      <c r="C8" s="334"/>
      <c r="D8" s="335"/>
      <c r="E8" s="277" t="s">
        <v>153</v>
      </c>
      <c r="F8" s="277"/>
      <c r="G8" s="277"/>
      <c r="H8" s="277"/>
      <c r="I8" s="277"/>
      <c r="J8" s="277"/>
      <c r="K8" s="277"/>
      <c r="L8" s="277"/>
      <c r="M8" s="277"/>
      <c r="N8" s="277"/>
      <c r="O8" s="278"/>
    </row>
    <row r="9" spans="2:15" ht="20.25" customHeight="1" thickBot="1">
      <c r="B9" s="333" t="s">
        <v>4</v>
      </c>
      <c r="C9" s="334"/>
      <c r="D9" s="335"/>
      <c r="E9" s="356" t="s">
        <v>154</v>
      </c>
      <c r="F9" s="356"/>
      <c r="G9" s="356"/>
      <c r="H9" s="356"/>
      <c r="I9" s="356"/>
      <c r="J9" s="356"/>
      <c r="K9" s="356"/>
      <c r="L9" s="356"/>
      <c r="M9" s="356"/>
      <c r="N9" s="356"/>
      <c r="O9" s="357"/>
    </row>
    <row r="10" spans="2:15" ht="20.25" customHeight="1" thickBot="1">
      <c r="B10" s="333" t="s">
        <v>143</v>
      </c>
      <c r="C10" s="334"/>
      <c r="D10" s="335"/>
      <c r="E10" s="356" t="s">
        <v>155</v>
      </c>
      <c r="F10" s="356"/>
      <c r="G10" s="356"/>
      <c r="H10" s="356"/>
      <c r="I10" s="356"/>
      <c r="J10" s="356"/>
      <c r="K10" s="356"/>
      <c r="L10" s="356"/>
      <c r="M10" s="356"/>
      <c r="N10" s="356"/>
      <c r="O10" s="357"/>
    </row>
    <row r="11" spans="2:15" ht="16.5" customHeight="1">
      <c r="B11" s="340" t="s">
        <v>136</v>
      </c>
      <c r="C11" s="341"/>
      <c r="D11" s="341"/>
      <c r="E11" s="220"/>
      <c r="F11" s="220"/>
      <c r="G11" s="220"/>
      <c r="H11" s="220"/>
      <c r="I11" s="220"/>
      <c r="J11" s="220"/>
      <c r="K11" s="220"/>
      <c r="L11" s="220"/>
      <c r="M11" s="220"/>
      <c r="N11" s="220"/>
      <c r="O11" s="221"/>
    </row>
    <row r="12" spans="2:15" ht="25.5" customHeight="1">
      <c r="B12" s="265" t="s">
        <v>137</v>
      </c>
      <c r="C12" s="266"/>
      <c r="D12" s="266"/>
      <c r="E12" s="266"/>
      <c r="F12" s="266"/>
      <c r="G12" s="266"/>
      <c r="H12" s="266"/>
      <c r="I12" s="266"/>
      <c r="J12" s="266"/>
      <c r="K12" s="266"/>
      <c r="L12" s="266"/>
      <c r="M12" s="266"/>
      <c r="N12" s="266"/>
      <c r="O12" s="267"/>
    </row>
    <row r="13" spans="2:15" ht="16.5" customHeight="1">
      <c r="B13" s="219" t="s">
        <v>12</v>
      </c>
      <c r="C13" s="220"/>
      <c r="D13" s="220"/>
      <c r="E13" s="220"/>
      <c r="F13" s="220"/>
      <c r="G13" s="220"/>
      <c r="H13" s="220"/>
      <c r="I13" s="220"/>
      <c r="J13" s="220"/>
      <c r="K13" s="220"/>
      <c r="L13" s="220"/>
      <c r="M13" s="220"/>
      <c r="N13" s="220"/>
      <c r="O13" s="221"/>
    </row>
    <row r="14" spans="2:15" ht="18.75" customHeight="1">
      <c r="B14" s="244" t="s">
        <v>142</v>
      </c>
      <c r="C14" s="245"/>
      <c r="D14" s="245"/>
      <c r="E14" s="245"/>
      <c r="F14" s="245"/>
      <c r="G14" s="245"/>
      <c r="H14" s="245"/>
      <c r="I14" s="245"/>
      <c r="J14" s="245"/>
      <c r="K14" s="245"/>
      <c r="L14" s="245"/>
      <c r="M14" s="245"/>
      <c r="N14" s="245"/>
      <c r="O14" s="246"/>
    </row>
    <row r="15" spans="2:15" ht="18.75" customHeight="1">
      <c r="B15" s="219" t="s">
        <v>13</v>
      </c>
      <c r="C15" s="220"/>
      <c r="D15" s="220"/>
      <c r="E15" s="220"/>
      <c r="F15" s="220"/>
      <c r="G15" s="220"/>
      <c r="H15" s="220"/>
      <c r="I15" s="220"/>
      <c r="J15" s="220"/>
      <c r="K15" s="220"/>
      <c r="L15" s="220"/>
      <c r="M15" s="220"/>
      <c r="N15" s="220"/>
      <c r="O15" s="221"/>
    </row>
    <row r="16" spans="2:15"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7" t="s">
        <v>156</v>
      </c>
      <c r="C17" s="27">
        <v>3</v>
      </c>
      <c r="D17" s="27">
        <v>41</v>
      </c>
      <c r="E17" s="27">
        <v>0</v>
      </c>
      <c r="F17" s="27">
        <v>20</v>
      </c>
      <c r="G17" s="27">
        <v>0</v>
      </c>
      <c r="H17" s="27">
        <v>25</v>
      </c>
      <c r="I17" s="27">
        <v>7</v>
      </c>
      <c r="J17" s="27">
        <v>28</v>
      </c>
      <c r="K17" s="27"/>
      <c r="L17" s="27"/>
      <c r="M17" s="27"/>
      <c r="N17" s="27"/>
      <c r="O17" s="65"/>
    </row>
    <row r="18" spans="2:15" ht="29.25" customHeight="1">
      <c r="B18" s="97" t="s">
        <v>157</v>
      </c>
      <c r="C18" s="48">
        <v>57</v>
      </c>
      <c r="D18" s="48">
        <v>51</v>
      </c>
      <c r="E18" s="48">
        <v>48</v>
      </c>
      <c r="F18" s="48">
        <v>50</v>
      </c>
      <c r="G18" s="48">
        <v>47</v>
      </c>
      <c r="H18" s="48">
        <v>51</v>
      </c>
      <c r="I18" s="48">
        <v>81</v>
      </c>
      <c r="J18" s="48">
        <v>82</v>
      </c>
      <c r="K18" s="48"/>
      <c r="L18" s="48"/>
      <c r="M18" s="48"/>
      <c r="N18" s="48"/>
      <c r="O18" s="13"/>
    </row>
    <row r="19" spans="2:15" ht="21" customHeight="1">
      <c r="B19" s="96" t="s">
        <v>293</v>
      </c>
      <c r="C19" s="95">
        <f t="shared" ref="C19:J19" si="0">C17/C18*100</f>
        <v>5.2631578947368416</v>
      </c>
      <c r="D19" s="95">
        <f t="shared" si="0"/>
        <v>80.392156862745097</v>
      </c>
      <c r="E19" s="95">
        <f t="shared" si="0"/>
        <v>0</v>
      </c>
      <c r="F19" s="95">
        <f t="shared" si="0"/>
        <v>40</v>
      </c>
      <c r="G19" s="95">
        <f t="shared" si="0"/>
        <v>0</v>
      </c>
      <c r="H19" s="95">
        <f t="shared" si="0"/>
        <v>49.019607843137251</v>
      </c>
      <c r="I19" s="95">
        <f t="shared" si="0"/>
        <v>8.6419753086419746</v>
      </c>
      <c r="J19" s="95">
        <f t="shared" si="0"/>
        <v>34.146341463414636</v>
      </c>
      <c r="K19" s="95"/>
      <c r="L19" s="95"/>
      <c r="M19" s="95"/>
      <c r="N19" s="95"/>
      <c r="O19" s="95"/>
    </row>
    <row r="20" spans="2:15" ht="21" customHeight="1">
      <c r="B20" s="197" t="s">
        <v>264</v>
      </c>
      <c r="C20" s="198">
        <v>0</v>
      </c>
      <c r="D20" s="198">
        <v>10.9</v>
      </c>
      <c r="E20" s="198">
        <v>11.7</v>
      </c>
      <c r="F20" s="198">
        <v>8</v>
      </c>
      <c r="G20" s="198">
        <v>0</v>
      </c>
      <c r="H20" s="198">
        <v>41.5</v>
      </c>
      <c r="I20" s="198">
        <v>39.1</v>
      </c>
      <c r="J20" s="198">
        <v>4.3</v>
      </c>
      <c r="K20" s="198">
        <v>2</v>
      </c>
      <c r="L20" s="198">
        <v>6.6</v>
      </c>
      <c r="M20" s="198">
        <v>16.899999999999999</v>
      </c>
      <c r="N20" s="198">
        <v>0</v>
      </c>
      <c r="O20" s="199"/>
    </row>
    <row r="21" spans="2:15" ht="18" customHeight="1" thickBot="1">
      <c r="B21" s="222" t="s">
        <v>28</v>
      </c>
      <c r="C21" s="223"/>
      <c r="D21" s="223"/>
      <c r="E21" s="223"/>
      <c r="F21" s="223"/>
      <c r="G21" s="223"/>
      <c r="H21" s="223"/>
      <c r="I21" s="223"/>
      <c r="J21" s="223"/>
      <c r="K21" s="223"/>
      <c r="L21" s="223"/>
      <c r="M21" s="223"/>
      <c r="N21" s="223"/>
      <c r="O21" s="224"/>
    </row>
    <row r="22" spans="2:15" s="2" customFormat="1" ht="27" customHeight="1">
      <c r="B22" s="225"/>
      <c r="C22" s="225"/>
      <c r="D22" s="225"/>
      <c r="E22" s="225"/>
      <c r="F22" s="225"/>
      <c r="G22" s="225"/>
      <c r="H22" s="225"/>
      <c r="I22" s="225"/>
      <c r="J22" s="225"/>
      <c r="K22" s="225"/>
      <c r="L22" s="225"/>
      <c r="M22" s="225"/>
      <c r="N22" s="225"/>
      <c r="O22" s="225"/>
    </row>
    <row r="23" spans="2:15" s="2" customFormat="1" ht="27" customHeight="1">
      <c r="B23" s="226"/>
      <c r="C23" s="226"/>
      <c r="D23" s="226"/>
      <c r="E23" s="226"/>
      <c r="F23" s="226"/>
      <c r="G23" s="226"/>
      <c r="H23" s="226"/>
      <c r="I23" s="226"/>
      <c r="J23" s="226"/>
      <c r="K23" s="226"/>
      <c r="L23" s="226"/>
      <c r="M23" s="226"/>
      <c r="N23" s="226"/>
      <c r="O23" s="226"/>
    </row>
    <row r="24" spans="2:15" s="2" customFormat="1" ht="27" customHeight="1">
      <c r="B24" s="226"/>
      <c r="C24" s="226"/>
      <c r="D24" s="226"/>
      <c r="E24" s="226"/>
      <c r="F24" s="226"/>
      <c r="G24" s="226"/>
      <c r="H24" s="226"/>
      <c r="I24" s="226"/>
      <c r="J24" s="226"/>
      <c r="K24" s="226"/>
      <c r="L24" s="226"/>
      <c r="M24" s="226"/>
      <c r="N24" s="226"/>
      <c r="O24" s="226"/>
    </row>
    <row r="25" spans="2:15" s="2" customFormat="1" ht="27" customHeight="1">
      <c r="B25" s="226"/>
      <c r="C25" s="226"/>
      <c r="D25" s="226"/>
      <c r="E25" s="226"/>
      <c r="F25" s="226"/>
      <c r="G25" s="226"/>
      <c r="H25" s="226"/>
      <c r="I25" s="226"/>
      <c r="J25" s="226"/>
      <c r="K25" s="226"/>
      <c r="L25" s="226"/>
      <c r="M25" s="226"/>
      <c r="N25" s="226"/>
      <c r="O25" s="226"/>
    </row>
    <row r="26" spans="2:15" s="2" customFormat="1" ht="27" customHeight="1">
      <c r="B26" s="226"/>
      <c r="C26" s="226"/>
      <c r="D26" s="226"/>
      <c r="E26" s="226"/>
      <c r="F26" s="226"/>
      <c r="G26" s="226"/>
      <c r="H26" s="226"/>
      <c r="I26" s="226"/>
      <c r="J26" s="226"/>
      <c r="K26" s="226"/>
      <c r="L26" s="226"/>
      <c r="M26" s="226"/>
      <c r="N26" s="226"/>
      <c r="O26" s="226"/>
    </row>
    <row r="27" spans="2:15" ht="27" customHeight="1">
      <c r="B27" s="226"/>
      <c r="C27" s="226"/>
      <c r="D27" s="226"/>
      <c r="E27" s="226"/>
      <c r="F27" s="226"/>
      <c r="G27" s="226"/>
      <c r="H27" s="226"/>
      <c r="I27" s="226"/>
      <c r="J27" s="226"/>
      <c r="K27" s="226"/>
      <c r="L27" s="226"/>
      <c r="M27" s="226"/>
      <c r="N27" s="226"/>
      <c r="O27" s="226"/>
    </row>
    <row r="28" spans="2:15" ht="27" customHeight="1">
      <c r="B28" s="226"/>
      <c r="C28" s="226"/>
      <c r="D28" s="226"/>
      <c r="E28" s="226"/>
      <c r="F28" s="226"/>
      <c r="G28" s="226"/>
      <c r="H28" s="226"/>
      <c r="I28" s="226"/>
      <c r="J28" s="226"/>
      <c r="K28" s="226"/>
      <c r="L28" s="226"/>
      <c r="M28" s="226"/>
      <c r="N28" s="226"/>
      <c r="O28" s="226"/>
    </row>
    <row r="29" spans="2:15" ht="27" customHeight="1">
      <c r="B29" s="226"/>
      <c r="C29" s="226"/>
      <c r="D29" s="226"/>
      <c r="E29" s="226"/>
      <c r="F29" s="226"/>
      <c r="G29" s="226"/>
      <c r="H29" s="226"/>
      <c r="I29" s="226"/>
      <c r="J29" s="226"/>
      <c r="K29" s="226"/>
      <c r="L29" s="226"/>
      <c r="M29" s="226"/>
      <c r="N29" s="226"/>
      <c r="O29" s="226"/>
    </row>
    <row r="30" spans="2:15" ht="27" customHeight="1">
      <c r="B30" s="226"/>
      <c r="C30" s="226"/>
      <c r="D30" s="226"/>
      <c r="E30" s="226"/>
      <c r="F30" s="226"/>
      <c r="G30" s="226"/>
      <c r="H30" s="226"/>
      <c r="I30" s="226"/>
      <c r="J30" s="226"/>
      <c r="K30" s="226"/>
      <c r="L30" s="226"/>
      <c r="M30" s="226"/>
      <c r="N30" s="226"/>
      <c r="O30" s="226"/>
    </row>
    <row r="31" spans="2:15" ht="27" customHeight="1">
      <c r="B31" s="226"/>
      <c r="C31" s="226"/>
      <c r="D31" s="226"/>
      <c r="E31" s="226"/>
      <c r="F31" s="226"/>
      <c r="G31" s="226"/>
      <c r="H31" s="226"/>
      <c r="I31" s="226"/>
      <c r="J31" s="226"/>
      <c r="K31" s="226"/>
      <c r="L31" s="226"/>
      <c r="M31" s="226"/>
      <c r="N31" s="226"/>
      <c r="O31" s="226"/>
    </row>
    <row r="32" spans="2:15" ht="27" customHeight="1">
      <c r="B32" s="226"/>
      <c r="C32" s="226"/>
      <c r="D32" s="226"/>
      <c r="E32" s="226"/>
      <c r="F32" s="226"/>
      <c r="G32" s="226"/>
      <c r="H32" s="226"/>
      <c r="I32" s="226"/>
      <c r="J32" s="226"/>
      <c r="K32" s="226"/>
      <c r="L32" s="226"/>
      <c r="M32" s="226"/>
      <c r="N32" s="226"/>
      <c r="O32" s="226"/>
    </row>
    <row r="33" spans="2:15" ht="27" customHeight="1">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66.75" customHeight="1">
      <c r="B35" s="353" t="s">
        <v>287</v>
      </c>
      <c r="C35" s="354"/>
      <c r="D35" s="354"/>
      <c r="E35" s="354"/>
      <c r="F35" s="354"/>
      <c r="G35" s="354"/>
      <c r="H35" s="354"/>
      <c r="I35" s="354"/>
      <c r="J35" s="354"/>
      <c r="K35" s="354"/>
      <c r="L35" s="354"/>
      <c r="M35" s="354"/>
      <c r="N35" s="354"/>
      <c r="O35" s="355"/>
    </row>
  </sheetData>
  <sheetProtection pivotTables="0"/>
  <mergeCells count="26">
    <mergeCell ref="B1:C3"/>
    <mergeCell ref="D1:K1"/>
    <mergeCell ref="L1:O3"/>
    <mergeCell ref="D2:K3"/>
    <mergeCell ref="K4:O4"/>
    <mergeCell ref="B5:C5"/>
    <mergeCell ref="D5:G5"/>
    <mergeCell ref="H5:I5"/>
    <mergeCell ref="J5:N5"/>
    <mergeCell ref="B10:D10"/>
    <mergeCell ref="E10:O10"/>
    <mergeCell ref="B11:O11"/>
    <mergeCell ref="B12:O12"/>
    <mergeCell ref="B7:D7"/>
    <mergeCell ref="E7:O7"/>
    <mergeCell ref="B8:D8"/>
    <mergeCell ref="E8:O8"/>
    <mergeCell ref="B9:D9"/>
    <mergeCell ref="E9:O9"/>
    <mergeCell ref="B35:O35"/>
    <mergeCell ref="B13:O13"/>
    <mergeCell ref="B14:O14"/>
    <mergeCell ref="B15:O15"/>
    <mergeCell ref="B21:O21"/>
    <mergeCell ref="B22:O33"/>
    <mergeCell ref="B34:O34"/>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List!$G$2:$G$17</xm:f>
          </x14:formula1>
          <xm:sqref>D5:G5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1:AG35"/>
  <sheetViews>
    <sheetView topLeftCell="B11" zoomScaleNormal="100" workbookViewId="0">
      <selection activeCell="I19" sqref="I19:J19"/>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110</v>
      </c>
      <c r="E5" s="351"/>
      <c r="F5" s="351"/>
      <c r="G5" s="351"/>
      <c r="H5" s="287" t="s">
        <v>1</v>
      </c>
      <c r="I5" s="287"/>
      <c r="J5" s="289" t="s">
        <v>141</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159</v>
      </c>
      <c r="F7" s="277"/>
      <c r="G7" s="277"/>
      <c r="H7" s="277"/>
      <c r="I7" s="277"/>
      <c r="J7" s="277"/>
      <c r="K7" s="277"/>
      <c r="L7" s="277"/>
      <c r="M7" s="277"/>
      <c r="N7" s="277"/>
      <c r="O7" s="278"/>
      <c r="Q7" s="2"/>
    </row>
    <row r="8" spans="2:33" ht="20.25" customHeight="1" thickBot="1">
      <c r="B8" s="333" t="s">
        <v>144</v>
      </c>
      <c r="C8" s="334"/>
      <c r="D8" s="335"/>
      <c r="E8" s="277" t="s">
        <v>160</v>
      </c>
      <c r="F8" s="277"/>
      <c r="G8" s="277"/>
      <c r="H8" s="277"/>
      <c r="I8" s="277"/>
      <c r="J8" s="277"/>
      <c r="K8" s="277"/>
      <c r="L8" s="277"/>
      <c r="M8" s="277"/>
      <c r="N8" s="277"/>
      <c r="O8" s="278"/>
    </row>
    <row r="9" spans="2:33" ht="20.25" customHeight="1" thickBot="1">
      <c r="B9" s="333" t="s">
        <v>4</v>
      </c>
      <c r="C9" s="334"/>
      <c r="D9" s="335"/>
      <c r="E9" s="356" t="s">
        <v>163</v>
      </c>
      <c r="F9" s="356"/>
      <c r="G9" s="356"/>
      <c r="H9" s="356"/>
      <c r="I9" s="356"/>
      <c r="J9" s="356"/>
      <c r="K9" s="356"/>
      <c r="L9" s="356"/>
      <c r="M9" s="356"/>
      <c r="N9" s="356"/>
      <c r="O9" s="357"/>
    </row>
    <row r="10" spans="2:33" ht="20.25" customHeight="1" thickBot="1">
      <c r="B10" s="333" t="s">
        <v>143</v>
      </c>
      <c r="C10" s="334"/>
      <c r="D10" s="335"/>
      <c r="E10" s="391" t="s">
        <v>164</v>
      </c>
      <c r="F10" s="391"/>
      <c r="G10" s="391"/>
      <c r="H10" s="391"/>
      <c r="I10" s="391"/>
      <c r="J10" s="391"/>
      <c r="K10" s="391"/>
      <c r="L10" s="391"/>
      <c r="M10" s="391"/>
      <c r="N10" s="391"/>
      <c r="O10" s="392"/>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row>
    <row r="14" spans="2:33" ht="18.75" customHeight="1">
      <c r="B14" s="244" t="s">
        <v>142</v>
      </c>
      <c r="C14" s="245"/>
      <c r="D14" s="245"/>
      <c r="E14" s="245"/>
      <c r="F14" s="245"/>
      <c r="G14" s="245"/>
      <c r="H14" s="245"/>
      <c r="I14" s="245"/>
      <c r="J14" s="245"/>
      <c r="K14" s="245"/>
      <c r="L14" s="245"/>
      <c r="M14" s="245"/>
      <c r="N14" s="245"/>
      <c r="O14" s="246"/>
    </row>
    <row r="15" spans="2:33" ht="18.75" customHeight="1">
      <c r="B15" s="219" t="s">
        <v>13</v>
      </c>
      <c r="C15" s="220"/>
      <c r="D15" s="220"/>
      <c r="E15" s="220"/>
      <c r="F15" s="220"/>
      <c r="G15" s="220"/>
      <c r="H15" s="220"/>
      <c r="I15" s="220"/>
      <c r="J15" s="220"/>
      <c r="K15" s="220"/>
      <c r="L15" s="220"/>
      <c r="M15" s="220"/>
      <c r="N15" s="220"/>
      <c r="O15" s="221"/>
    </row>
    <row r="16" spans="2:33"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4" t="s">
        <v>161</v>
      </c>
      <c r="C17" s="27">
        <v>1</v>
      </c>
      <c r="D17" s="27">
        <v>5</v>
      </c>
      <c r="E17" s="27">
        <v>0</v>
      </c>
      <c r="F17" s="27">
        <v>1</v>
      </c>
      <c r="G17" s="27">
        <v>0</v>
      </c>
      <c r="H17" s="27">
        <v>2</v>
      </c>
      <c r="I17" s="27">
        <v>1</v>
      </c>
      <c r="J17" s="27">
        <v>4</v>
      </c>
      <c r="K17" s="27"/>
      <c r="L17" s="27"/>
      <c r="M17" s="27"/>
      <c r="N17" s="27"/>
      <c r="O17" s="65"/>
    </row>
    <row r="18" spans="2:15" ht="21" customHeight="1">
      <c r="B18" s="94" t="s">
        <v>162</v>
      </c>
      <c r="C18" s="27">
        <v>1</v>
      </c>
      <c r="D18" s="27">
        <v>5</v>
      </c>
      <c r="E18" s="27">
        <v>0</v>
      </c>
      <c r="F18" s="27">
        <v>1</v>
      </c>
      <c r="G18" s="27">
        <v>0</v>
      </c>
      <c r="H18" s="27">
        <v>2</v>
      </c>
      <c r="I18" s="27">
        <v>1</v>
      </c>
      <c r="J18" s="27">
        <v>4</v>
      </c>
      <c r="K18" s="48"/>
      <c r="L18" s="48"/>
      <c r="M18" s="48"/>
      <c r="N18" s="48"/>
      <c r="O18" s="65"/>
    </row>
    <row r="19" spans="2:15" ht="21" customHeight="1">
      <c r="B19" s="91" t="s">
        <v>209</v>
      </c>
      <c r="C19" s="90">
        <f>C18/C17*100</f>
        <v>100</v>
      </c>
      <c r="D19" s="90">
        <v>5</v>
      </c>
      <c r="E19" s="90">
        <v>0</v>
      </c>
      <c r="F19" s="90">
        <f>F17/F18*100</f>
        <v>100</v>
      </c>
      <c r="G19" s="90">
        <v>0</v>
      </c>
      <c r="H19" s="90">
        <f>H17/H18*100</f>
        <v>100</v>
      </c>
      <c r="I19" s="90">
        <f>I17/I18*100</f>
        <v>100</v>
      </c>
      <c r="J19" s="90">
        <f>J17/J18*100</f>
        <v>100</v>
      </c>
      <c r="K19" s="90"/>
      <c r="L19" s="90"/>
      <c r="M19" s="90"/>
      <c r="N19" s="90"/>
      <c r="O19" s="90"/>
    </row>
    <row r="20" spans="2:15" ht="16.5" customHeight="1">
      <c r="B20" s="18" t="s">
        <v>165</v>
      </c>
      <c r="C20" s="100">
        <v>100</v>
      </c>
      <c r="D20" s="100">
        <v>100</v>
      </c>
      <c r="E20" s="100">
        <v>100</v>
      </c>
      <c r="F20" s="100">
        <v>100</v>
      </c>
      <c r="G20" s="100">
        <v>100</v>
      </c>
      <c r="H20" s="100">
        <v>100</v>
      </c>
      <c r="I20" s="100">
        <v>100</v>
      </c>
      <c r="J20" s="100">
        <v>100</v>
      </c>
      <c r="K20" s="100">
        <v>100</v>
      </c>
      <c r="L20" s="100">
        <v>100</v>
      </c>
      <c r="M20" s="100">
        <v>100</v>
      </c>
      <c r="N20" s="100"/>
      <c r="O20" s="85"/>
    </row>
    <row r="21" spans="2:15" ht="18" customHeight="1" thickBot="1">
      <c r="B21" s="222" t="s">
        <v>28</v>
      </c>
      <c r="C21" s="223"/>
      <c r="D21" s="223"/>
      <c r="E21" s="223"/>
      <c r="F21" s="223"/>
      <c r="G21" s="223"/>
      <c r="H21" s="223"/>
      <c r="I21" s="223"/>
      <c r="J21" s="223"/>
      <c r="K21" s="223"/>
      <c r="L21" s="223"/>
      <c r="M21" s="223"/>
      <c r="N21" s="223"/>
      <c r="O21" s="224"/>
    </row>
    <row r="22" spans="2:15" s="2" customFormat="1" ht="22.5" customHeight="1">
      <c r="B22" s="225"/>
      <c r="C22" s="225"/>
      <c r="D22" s="225"/>
      <c r="E22" s="225"/>
      <c r="F22" s="225"/>
      <c r="G22" s="225"/>
      <c r="H22" s="225"/>
      <c r="I22" s="225"/>
      <c r="J22" s="225"/>
      <c r="K22" s="225"/>
      <c r="L22" s="225"/>
      <c r="M22" s="225"/>
      <c r="N22" s="225"/>
      <c r="O22" s="225"/>
    </row>
    <row r="23" spans="2:15" s="2" customFormat="1" ht="22.5" customHeight="1">
      <c r="B23" s="226"/>
      <c r="C23" s="226"/>
      <c r="D23" s="226"/>
      <c r="E23" s="226"/>
      <c r="F23" s="226"/>
      <c r="G23" s="226"/>
      <c r="H23" s="226"/>
      <c r="I23" s="226"/>
      <c r="J23" s="226"/>
      <c r="K23" s="226"/>
      <c r="L23" s="226"/>
      <c r="M23" s="226"/>
      <c r="N23" s="226"/>
      <c r="O23" s="226"/>
    </row>
    <row r="24" spans="2:15" s="2" customFormat="1" ht="22.5" customHeight="1">
      <c r="B24" s="226"/>
      <c r="C24" s="226"/>
      <c r="D24" s="226"/>
      <c r="E24" s="226"/>
      <c r="F24" s="226"/>
      <c r="G24" s="226"/>
      <c r="H24" s="226"/>
      <c r="I24" s="226"/>
      <c r="J24" s="226"/>
      <c r="K24" s="226"/>
      <c r="L24" s="226"/>
      <c r="M24" s="226"/>
      <c r="N24" s="226"/>
      <c r="O24" s="226"/>
    </row>
    <row r="25" spans="2:15" s="2" customFormat="1" ht="22.5" customHeight="1">
      <c r="B25" s="226"/>
      <c r="C25" s="226"/>
      <c r="D25" s="226"/>
      <c r="E25" s="226"/>
      <c r="F25" s="226"/>
      <c r="G25" s="226"/>
      <c r="H25" s="226"/>
      <c r="I25" s="226"/>
      <c r="J25" s="226"/>
      <c r="K25" s="226"/>
      <c r="L25" s="226"/>
      <c r="M25" s="226"/>
      <c r="N25" s="226"/>
      <c r="O25" s="226"/>
    </row>
    <row r="26" spans="2:15" s="2" customFormat="1" ht="22.5" customHeight="1">
      <c r="B26" s="226"/>
      <c r="C26" s="226"/>
      <c r="D26" s="226"/>
      <c r="E26" s="226"/>
      <c r="F26" s="226"/>
      <c r="G26" s="226"/>
      <c r="H26" s="226"/>
      <c r="I26" s="226"/>
      <c r="J26" s="226"/>
      <c r="K26" s="226"/>
      <c r="L26" s="226"/>
      <c r="M26" s="226"/>
      <c r="N26" s="226"/>
      <c r="O26" s="226"/>
    </row>
    <row r="27" spans="2:15" ht="22.5" customHeight="1">
      <c r="B27" s="226"/>
      <c r="C27" s="226"/>
      <c r="D27" s="226"/>
      <c r="E27" s="226"/>
      <c r="F27" s="226"/>
      <c r="G27" s="226"/>
      <c r="H27" s="226"/>
      <c r="I27" s="226"/>
      <c r="J27" s="226"/>
      <c r="K27" s="226"/>
      <c r="L27" s="226"/>
      <c r="M27" s="226"/>
      <c r="N27" s="226"/>
      <c r="O27" s="226"/>
    </row>
    <row r="28" spans="2:15" ht="22.5" customHeight="1">
      <c r="B28" s="226"/>
      <c r="C28" s="226"/>
      <c r="D28" s="226"/>
      <c r="E28" s="226"/>
      <c r="F28" s="226"/>
      <c r="G28" s="226"/>
      <c r="H28" s="226"/>
      <c r="I28" s="226"/>
      <c r="J28" s="226"/>
      <c r="K28" s="226"/>
      <c r="L28" s="226"/>
      <c r="M28" s="226"/>
      <c r="N28" s="226"/>
      <c r="O28" s="226"/>
    </row>
    <row r="29" spans="2:15" ht="22.5" customHeight="1">
      <c r="B29" s="226"/>
      <c r="C29" s="226"/>
      <c r="D29" s="226"/>
      <c r="E29" s="226"/>
      <c r="F29" s="226"/>
      <c r="G29" s="226"/>
      <c r="H29" s="226"/>
      <c r="I29" s="226"/>
      <c r="J29" s="226"/>
      <c r="K29" s="226"/>
      <c r="L29" s="226"/>
      <c r="M29" s="226"/>
      <c r="N29" s="226"/>
      <c r="O29" s="226"/>
    </row>
    <row r="30" spans="2:15" ht="22.5" customHeight="1">
      <c r="B30" s="226"/>
      <c r="C30" s="226"/>
      <c r="D30" s="226"/>
      <c r="E30" s="226"/>
      <c r="F30" s="226"/>
      <c r="G30" s="226"/>
      <c r="H30" s="226"/>
      <c r="I30" s="226"/>
      <c r="J30" s="226"/>
      <c r="K30" s="226"/>
      <c r="L30" s="226"/>
      <c r="M30" s="226"/>
      <c r="N30" s="226"/>
      <c r="O30" s="226"/>
    </row>
    <row r="31" spans="2:15" ht="22.5" customHeight="1">
      <c r="B31" s="226"/>
      <c r="C31" s="226"/>
      <c r="D31" s="226"/>
      <c r="E31" s="226"/>
      <c r="F31" s="226"/>
      <c r="G31" s="226"/>
      <c r="H31" s="226"/>
      <c r="I31" s="226"/>
      <c r="J31" s="226"/>
      <c r="K31" s="226"/>
      <c r="L31" s="226"/>
      <c r="M31" s="226"/>
      <c r="N31" s="226"/>
      <c r="O31" s="226"/>
    </row>
    <row r="32" spans="2:15" ht="22.5" customHeight="1">
      <c r="B32" s="226"/>
      <c r="C32" s="226"/>
      <c r="D32" s="226"/>
      <c r="E32" s="226"/>
      <c r="F32" s="226"/>
      <c r="G32" s="226"/>
      <c r="H32" s="226"/>
      <c r="I32" s="226"/>
      <c r="J32" s="226"/>
      <c r="K32" s="226"/>
      <c r="L32" s="226"/>
      <c r="M32" s="226"/>
      <c r="N32" s="226"/>
      <c r="O32" s="226"/>
    </row>
    <row r="33" spans="2:15">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26.25" customHeight="1">
      <c r="B35" s="330"/>
      <c r="C35" s="331"/>
      <c r="D35" s="331"/>
      <c r="E35" s="331"/>
      <c r="F35" s="331"/>
      <c r="G35" s="331"/>
      <c r="H35" s="331"/>
      <c r="I35" s="331"/>
      <c r="J35" s="331"/>
      <c r="K35" s="331"/>
      <c r="L35" s="331"/>
      <c r="M35" s="331"/>
      <c r="N35" s="331"/>
      <c r="O35" s="332"/>
    </row>
  </sheetData>
  <sheetProtection pivotTables="0"/>
  <mergeCells count="35">
    <mergeCell ref="K4:O4"/>
    <mergeCell ref="B1:C3"/>
    <mergeCell ref="D1:K1"/>
    <mergeCell ref="L1:O3"/>
    <mergeCell ref="R1:S3"/>
    <mergeCell ref="T1:AB1"/>
    <mergeCell ref="AE1:AG1"/>
    <mergeCell ref="D2:K3"/>
    <mergeCell ref="T2:AB3"/>
    <mergeCell ref="AC2:AD2"/>
    <mergeCell ref="AE2:AG2"/>
    <mergeCell ref="AC3:AD3"/>
    <mergeCell ref="AE3:AG3"/>
    <mergeCell ref="AC1:AD1"/>
    <mergeCell ref="B5:C5"/>
    <mergeCell ref="D5:G5"/>
    <mergeCell ref="H5:I5"/>
    <mergeCell ref="J5:N5"/>
    <mergeCell ref="B11:O11"/>
    <mergeCell ref="B7:D7"/>
    <mergeCell ref="E7:O7"/>
    <mergeCell ref="B12:O12"/>
    <mergeCell ref="B13:O13"/>
    <mergeCell ref="B14:O14"/>
    <mergeCell ref="B8:D8"/>
    <mergeCell ref="E8:O8"/>
    <mergeCell ref="B9:D9"/>
    <mergeCell ref="E9:O9"/>
    <mergeCell ref="B10:D10"/>
    <mergeCell ref="E10:O10"/>
    <mergeCell ref="B15:O15"/>
    <mergeCell ref="B21:O21"/>
    <mergeCell ref="B22:O33"/>
    <mergeCell ref="B34:O34"/>
    <mergeCell ref="B35:O35"/>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List!$G$2:$G$17</xm:f>
          </x14:formula1>
          <xm:sqref>D5:G5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J128"/>
  <sheetViews>
    <sheetView topLeftCell="A58" zoomScale="80" zoomScaleNormal="80" workbookViewId="0">
      <selection activeCell="I80" sqref="I80"/>
    </sheetView>
  </sheetViews>
  <sheetFormatPr baseColWidth="10" defaultRowHeight="15"/>
  <cols>
    <col min="1" max="1" width="68.85546875" customWidth="1"/>
    <col min="2" max="2" width="15" customWidth="1"/>
    <col min="9" max="9" width="67.85546875" customWidth="1"/>
    <col min="10" max="10" width="11.42578125" customWidth="1"/>
  </cols>
  <sheetData>
    <row r="1" spans="1:10" ht="21" customHeight="1">
      <c r="A1" s="166" t="s">
        <v>183</v>
      </c>
      <c r="B1" s="163" t="s">
        <v>167</v>
      </c>
      <c r="I1" s="166" t="s">
        <v>183</v>
      </c>
      <c r="J1" s="163" t="s">
        <v>167</v>
      </c>
    </row>
    <row r="2" spans="1:10">
      <c r="A2" s="161" t="s">
        <v>176</v>
      </c>
      <c r="B2" s="162"/>
      <c r="I2" s="161" t="s">
        <v>176</v>
      </c>
      <c r="J2" s="162"/>
    </row>
    <row r="3" spans="1:10">
      <c r="A3" s="161" t="s">
        <v>180</v>
      </c>
      <c r="B3" s="162"/>
      <c r="I3" s="161" t="s">
        <v>180</v>
      </c>
      <c r="J3" s="162"/>
    </row>
    <row r="4" spans="1:10">
      <c r="A4" s="161" t="s">
        <v>177</v>
      </c>
      <c r="B4" s="162"/>
      <c r="I4" s="161" t="s">
        <v>177</v>
      </c>
      <c r="J4" s="162"/>
    </row>
    <row r="5" spans="1:10">
      <c r="A5" s="161" t="s">
        <v>178</v>
      </c>
      <c r="B5" s="162"/>
      <c r="I5" s="161" t="s">
        <v>178</v>
      </c>
      <c r="J5" s="162">
        <v>1</v>
      </c>
    </row>
    <row r="6" spans="1:10">
      <c r="A6" s="161" t="s">
        <v>179</v>
      </c>
      <c r="B6" s="162">
        <v>1</v>
      </c>
      <c r="I6" s="161" t="s">
        <v>179</v>
      </c>
      <c r="J6" s="162"/>
    </row>
    <row r="7" spans="1:10">
      <c r="A7" s="161" t="s">
        <v>181</v>
      </c>
      <c r="B7" s="162"/>
      <c r="I7" s="161" t="s">
        <v>181</v>
      </c>
      <c r="J7" s="162"/>
    </row>
    <row r="8" spans="1:10">
      <c r="A8" s="161" t="s">
        <v>182</v>
      </c>
      <c r="B8" s="162"/>
      <c r="I8" s="161" t="s">
        <v>182</v>
      </c>
      <c r="J8" s="162"/>
    </row>
    <row r="9" spans="1:10">
      <c r="A9" s="161" t="s">
        <v>174</v>
      </c>
      <c r="B9" s="162"/>
      <c r="I9" s="161" t="s">
        <v>174</v>
      </c>
      <c r="J9" s="162"/>
    </row>
    <row r="10" spans="1:10">
      <c r="A10" s="161" t="s">
        <v>175</v>
      </c>
      <c r="B10" s="162"/>
      <c r="I10" s="161" t="s">
        <v>175</v>
      </c>
      <c r="J10" s="162"/>
    </row>
    <row r="11" spans="1:10">
      <c r="A11" s="164" t="s">
        <v>238</v>
      </c>
      <c r="B11" s="165"/>
      <c r="I11" s="164" t="s">
        <v>238</v>
      </c>
      <c r="J11" s="165"/>
    </row>
    <row r="12" spans="1:10">
      <c r="A12" s="105" t="s">
        <v>158</v>
      </c>
      <c r="B12" s="99"/>
      <c r="I12" s="105" t="s">
        <v>158</v>
      </c>
      <c r="J12" s="99"/>
    </row>
    <row r="14" spans="1:10">
      <c r="A14" s="166" t="s">
        <v>183</v>
      </c>
      <c r="B14" s="163" t="s">
        <v>167</v>
      </c>
    </row>
    <row r="15" spans="1:10">
      <c r="A15" s="161" t="s">
        <v>176</v>
      </c>
      <c r="B15" s="162"/>
    </row>
    <row r="16" spans="1:10">
      <c r="A16" s="161" t="s">
        <v>180</v>
      </c>
      <c r="B16" s="162"/>
    </row>
    <row r="17" spans="1:2">
      <c r="A17" s="161" t="s">
        <v>177</v>
      </c>
      <c r="B17" s="162">
        <v>1</v>
      </c>
    </row>
    <row r="18" spans="1:2">
      <c r="A18" s="161" t="s">
        <v>178</v>
      </c>
      <c r="B18" s="162"/>
    </row>
    <row r="19" spans="1:2">
      <c r="A19" s="161" t="s">
        <v>179</v>
      </c>
      <c r="B19" s="162"/>
    </row>
    <row r="20" spans="1:2">
      <c r="A20" s="161" t="s">
        <v>181</v>
      </c>
      <c r="B20" s="162"/>
    </row>
    <row r="21" spans="1:2">
      <c r="A21" s="161" t="s">
        <v>182</v>
      </c>
      <c r="B21" s="162"/>
    </row>
    <row r="22" spans="1:2">
      <c r="A22" s="161" t="s">
        <v>174</v>
      </c>
      <c r="B22" s="162">
        <v>1</v>
      </c>
    </row>
    <row r="23" spans="1:2">
      <c r="A23" s="161" t="s">
        <v>175</v>
      </c>
      <c r="B23" s="162"/>
    </row>
    <row r="24" spans="1:2">
      <c r="A24" s="164" t="s">
        <v>238</v>
      </c>
      <c r="B24" s="165"/>
    </row>
    <row r="25" spans="1:2">
      <c r="A25" s="105" t="s">
        <v>158</v>
      </c>
      <c r="B25" s="99">
        <f>SUM(B15:B24)</f>
        <v>2</v>
      </c>
    </row>
    <row r="27" spans="1:2">
      <c r="A27" s="166" t="s">
        <v>183</v>
      </c>
      <c r="B27" s="163" t="s">
        <v>167</v>
      </c>
    </row>
    <row r="28" spans="1:2">
      <c r="A28" s="161" t="s">
        <v>176</v>
      </c>
      <c r="B28" s="162"/>
    </row>
    <row r="29" spans="1:2">
      <c r="A29" s="161" t="s">
        <v>180</v>
      </c>
      <c r="B29" s="162">
        <v>1</v>
      </c>
    </row>
    <row r="30" spans="1:2">
      <c r="A30" s="161" t="s">
        <v>177</v>
      </c>
      <c r="B30" s="162">
        <v>1</v>
      </c>
    </row>
    <row r="31" spans="1:2">
      <c r="A31" s="161" t="s">
        <v>178</v>
      </c>
      <c r="B31" s="162">
        <v>1</v>
      </c>
    </row>
    <row r="32" spans="1:2">
      <c r="A32" s="161" t="s">
        <v>179</v>
      </c>
      <c r="B32" s="162"/>
    </row>
    <row r="33" spans="1:10">
      <c r="A33" s="161" t="s">
        <v>181</v>
      </c>
      <c r="B33" s="162"/>
    </row>
    <row r="34" spans="1:10">
      <c r="A34" s="161" t="s">
        <v>182</v>
      </c>
      <c r="B34" s="162"/>
    </row>
    <row r="35" spans="1:10">
      <c r="A35" s="161" t="s">
        <v>174</v>
      </c>
      <c r="B35" s="162">
        <v>1</v>
      </c>
    </row>
    <row r="36" spans="1:10">
      <c r="A36" s="161" t="s">
        <v>175</v>
      </c>
      <c r="B36" s="162"/>
    </row>
    <row r="37" spans="1:10">
      <c r="A37" s="164" t="s">
        <v>238</v>
      </c>
      <c r="B37" s="165"/>
    </row>
    <row r="38" spans="1:10">
      <c r="A38" s="105" t="s">
        <v>158</v>
      </c>
      <c r="B38" s="99">
        <f>SUM(B28:B37)</f>
        <v>4</v>
      </c>
    </row>
    <row r="41" spans="1:10">
      <c r="A41" s="166" t="s">
        <v>183</v>
      </c>
      <c r="B41" s="163" t="s">
        <v>167</v>
      </c>
      <c r="I41" s="166" t="s">
        <v>183</v>
      </c>
      <c r="J41" s="163" t="s">
        <v>167</v>
      </c>
    </row>
    <row r="42" spans="1:10">
      <c r="A42" s="161" t="s">
        <v>176</v>
      </c>
      <c r="B42" s="162"/>
      <c r="I42" s="161" t="s">
        <v>176</v>
      </c>
      <c r="J42" s="162"/>
    </row>
    <row r="43" spans="1:10">
      <c r="A43" s="161" t="s">
        <v>180</v>
      </c>
      <c r="B43" s="162">
        <v>1</v>
      </c>
      <c r="I43" s="161" t="s">
        <v>180</v>
      </c>
      <c r="J43" s="162"/>
    </row>
    <row r="44" spans="1:10">
      <c r="A44" s="161" t="s">
        <v>177</v>
      </c>
      <c r="B44" s="162">
        <v>1</v>
      </c>
      <c r="I44" s="161" t="s">
        <v>177</v>
      </c>
      <c r="J44" s="162">
        <v>1</v>
      </c>
    </row>
    <row r="45" spans="1:10">
      <c r="A45" s="161" t="s">
        <v>178</v>
      </c>
      <c r="B45" s="162">
        <v>1</v>
      </c>
      <c r="I45" s="161" t="s">
        <v>178</v>
      </c>
      <c r="J45" s="162">
        <v>1</v>
      </c>
    </row>
    <row r="46" spans="1:10">
      <c r="A46" s="183" t="s">
        <v>279</v>
      </c>
      <c r="B46" s="184">
        <v>1</v>
      </c>
      <c r="I46" s="161" t="s">
        <v>179</v>
      </c>
      <c r="J46" s="162"/>
    </row>
    <row r="47" spans="1:10">
      <c r="A47" s="161" t="s">
        <v>179</v>
      </c>
      <c r="B47" s="162"/>
      <c r="I47" s="161" t="s">
        <v>181</v>
      </c>
      <c r="J47" s="162"/>
    </row>
    <row r="48" spans="1:10">
      <c r="A48" s="161" t="s">
        <v>181</v>
      </c>
      <c r="B48" s="162">
        <v>1</v>
      </c>
      <c r="I48" s="161" t="s">
        <v>182</v>
      </c>
      <c r="J48" s="162"/>
    </row>
    <row r="49" spans="1:10">
      <c r="A49" s="161" t="s">
        <v>182</v>
      </c>
      <c r="B49" s="162"/>
      <c r="I49" s="161" t="s">
        <v>174</v>
      </c>
      <c r="J49" s="162"/>
    </row>
    <row r="50" spans="1:10">
      <c r="A50" s="161" t="s">
        <v>174</v>
      </c>
      <c r="B50" s="162"/>
      <c r="I50" s="161" t="s">
        <v>175</v>
      </c>
      <c r="J50" s="162"/>
    </row>
    <row r="51" spans="1:10">
      <c r="A51" s="161" t="s">
        <v>175</v>
      </c>
      <c r="B51" s="162"/>
      <c r="I51" s="164" t="s">
        <v>238</v>
      </c>
      <c r="J51" s="165"/>
    </row>
    <row r="52" spans="1:10">
      <c r="A52" s="164" t="s">
        <v>238</v>
      </c>
      <c r="B52" s="165"/>
      <c r="I52" s="105" t="s">
        <v>158</v>
      </c>
      <c r="J52" s="99"/>
    </row>
    <row r="53" spans="1:10">
      <c r="A53" s="105" t="s">
        <v>158</v>
      </c>
      <c r="B53" s="99">
        <f>SUM(B42:B52)</f>
        <v>5</v>
      </c>
    </row>
    <row r="56" spans="1:10">
      <c r="A56" s="166" t="s">
        <v>183</v>
      </c>
      <c r="B56" s="163" t="s">
        <v>167</v>
      </c>
      <c r="I56" s="211"/>
      <c r="J56" s="211"/>
    </row>
    <row r="57" spans="1:10">
      <c r="A57" s="161" t="s">
        <v>176</v>
      </c>
      <c r="B57" s="162">
        <v>1</v>
      </c>
      <c r="I57" s="209"/>
      <c r="J57" s="210"/>
    </row>
    <row r="58" spans="1:10">
      <c r="A58" s="161" t="s">
        <v>180</v>
      </c>
      <c r="B58" s="162"/>
      <c r="I58" s="209"/>
      <c r="J58" s="210"/>
    </row>
    <row r="59" spans="1:10">
      <c r="A59" s="161" t="s">
        <v>177</v>
      </c>
      <c r="B59" s="162"/>
      <c r="I59" s="209"/>
      <c r="J59" s="210"/>
    </row>
    <row r="60" spans="1:10">
      <c r="A60" s="161" t="s">
        <v>178</v>
      </c>
      <c r="B60" s="162"/>
      <c r="I60" s="209"/>
      <c r="J60" s="210"/>
    </row>
    <row r="61" spans="1:10">
      <c r="A61" s="183" t="s">
        <v>279</v>
      </c>
      <c r="B61" s="184"/>
      <c r="I61" s="209"/>
      <c r="J61" s="210"/>
    </row>
    <row r="62" spans="1:10">
      <c r="A62" s="161" t="s">
        <v>179</v>
      </c>
      <c r="B62" s="162"/>
      <c r="I62" s="209"/>
      <c r="J62" s="210"/>
    </row>
    <row r="63" spans="1:10">
      <c r="A63" s="161" t="s">
        <v>181</v>
      </c>
      <c r="B63" s="162"/>
      <c r="I63" s="209"/>
      <c r="J63" s="210"/>
    </row>
    <row r="64" spans="1:10">
      <c r="A64" s="161" t="s">
        <v>182</v>
      </c>
      <c r="B64" s="162"/>
      <c r="I64" s="209"/>
      <c r="J64" s="210"/>
    </row>
    <row r="65" spans="1:10">
      <c r="A65" s="161" t="s">
        <v>174</v>
      </c>
      <c r="B65" s="162"/>
      <c r="I65" s="209"/>
      <c r="J65" s="210"/>
    </row>
    <row r="66" spans="1:10">
      <c r="A66" s="161" t="s">
        <v>175</v>
      </c>
      <c r="B66" s="162"/>
      <c r="I66" s="209"/>
      <c r="J66" s="210"/>
    </row>
    <row r="67" spans="1:10">
      <c r="A67" s="164" t="s">
        <v>238</v>
      </c>
      <c r="B67" s="165"/>
      <c r="I67" s="210"/>
    </row>
    <row r="68" spans="1:10">
      <c r="A68" s="105" t="s">
        <v>158</v>
      </c>
      <c r="B68" s="99">
        <f>SUM(B57:B67)</f>
        <v>1</v>
      </c>
    </row>
    <row r="71" spans="1:10">
      <c r="A71" s="166" t="s">
        <v>183</v>
      </c>
      <c r="B71" s="163" t="s">
        <v>167</v>
      </c>
    </row>
    <row r="72" spans="1:10">
      <c r="A72" s="161" t="s">
        <v>176</v>
      </c>
      <c r="B72" s="162">
        <v>3</v>
      </c>
    </row>
    <row r="73" spans="1:10">
      <c r="A73" s="161" t="s">
        <v>180</v>
      </c>
      <c r="B73" s="162"/>
    </row>
    <row r="74" spans="1:10">
      <c r="A74" s="161" t="s">
        <v>177</v>
      </c>
      <c r="B74" s="162"/>
    </row>
    <row r="75" spans="1:10">
      <c r="A75" s="161" t="s">
        <v>178</v>
      </c>
      <c r="B75" s="162"/>
    </row>
    <row r="76" spans="1:10">
      <c r="A76" s="183" t="s">
        <v>279</v>
      </c>
      <c r="B76" s="184"/>
    </row>
    <row r="77" spans="1:10">
      <c r="A77" s="161" t="s">
        <v>179</v>
      </c>
      <c r="B77" s="162"/>
    </row>
    <row r="78" spans="1:10">
      <c r="A78" s="161" t="s">
        <v>181</v>
      </c>
      <c r="B78" s="162">
        <v>1</v>
      </c>
    </row>
    <row r="79" spans="1:10">
      <c r="A79" s="161" t="s">
        <v>182</v>
      </c>
      <c r="B79" s="162"/>
    </row>
    <row r="80" spans="1:10">
      <c r="A80" s="161" t="s">
        <v>174</v>
      </c>
      <c r="B80" s="162"/>
    </row>
    <row r="81" spans="1:2">
      <c r="A81" s="161" t="s">
        <v>175</v>
      </c>
      <c r="B81" s="162"/>
    </row>
    <row r="82" spans="1:2">
      <c r="A82" s="164" t="s">
        <v>238</v>
      </c>
      <c r="B82" s="165"/>
    </row>
    <row r="83" spans="1:2">
      <c r="A83" s="105" t="s">
        <v>158</v>
      </c>
      <c r="B83" s="99">
        <f>SUM(B72:B82)</f>
        <v>4</v>
      </c>
    </row>
    <row r="86" spans="1:2">
      <c r="A86" s="166" t="s">
        <v>183</v>
      </c>
      <c r="B86" s="163" t="s">
        <v>167</v>
      </c>
    </row>
    <row r="87" spans="1:2">
      <c r="A87" s="161" t="s">
        <v>176</v>
      </c>
      <c r="B87" s="162"/>
    </row>
    <row r="88" spans="1:2">
      <c r="A88" s="161" t="s">
        <v>180</v>
      </c>
      <c r="B88" s="162"/>
    </row>
    <row r="89" spans="1:2">
      <c r="A89" s="161" t="s">
        <v>177</v>
      </c>
      <c r="B89" s="162"/>
    </row>
    <row r="90" spans="1:2">
      <c r="A90" s="161" t="s">
        <v>178</v>
      </c>
      <c r="B90" s="162"/>
    </row>
    <row r="91" spans="1:2">
      <c r="A91" s="183" t="s">
        <v>279</v>
      </c>
      <c r="B91" s="184"/>
    </row>
    <row r="92" spans="1:2">
      <c r="A92" s="161" t="s">
        <v>179</v>
      </c>
      <c r="B92" s="162"/>
    </row>
    <row r="93" spans="1:2">
      <c r="A93" s="161" t="s">
        <v>181</v>
      </c>
      <c r="B93" s="162"/>
    </row>
    <row r="94" spans="1:2">
      <c r="A94" s="161" t="s">
        <v>182</v>
      </c>
      <c r="B94" s="162"/>
    </row>
    <row r="95" spans="1:2">
      <c r="A95" s="161" t="s">
        <v>174</v>
      </c>
      <c r="B95" s="162">
        <v>3</v>
      </c>
    </row>
    <row r="96" spans="1:2">
      <c r="A96" s="161" t="s">
        <v>175</v>
      </c>
      <c r="B96" s="162"/>
    </row>
    <row r="97" spans="1:2">
      <c r="A97" s="164" t="s">
        <v>238</v>
      </c>
      <c r="B97" s="165"/>
    </row>
    <row r="98" spans="1:2">
      <c r="A98" s="105" t="s">
        <v>158</v>
      </c>
      <c r="B98" s="99">
        <f>SUM(B87:B97)</f>
        <v>3</v>
      </c>
    </row>
    <row r="101" spans="1:2">
      <c r="A101" s="166" t="s">
        <v>183</v>
      </c>
      <c r="B101" s="163" t="s">
        <v>167</v>
      </c>
    </row>
    <row r="102" spans="1:2">
      <c r="A102" s="161" t="s">
        <v>176</v>
      </c>
      <c r="B102" s="162">
        <v>2</v>
      </c>
    </row>
    <row r="103" spans="1:2">
      <c r="A103" s="161" t="s">
        <v>180</v>
      </c>
      <c r="B103" s="162"/>
    </row>
    <row r="104" spans="1:2">
      <c r="A104" s="161" t="s">
        <v>177</v>
      </c>
      <c r="B104" s="162"/>
    </row>
    <row r="105" spans="1:2">
      <c r="A105" s="161" t="s">
        <v>178</v>
      </c>
      <c r="B105" s="162"/>
    </row>
    <row r="106" spans="1:2">
      <c r="A106" s="183" t="s">
        <v>279</v>
      </c>
      <c r="B106" s="184"/>
    </row>
    <row r="107" spans="1:2">
      <c r="A107" s="161" t="s">
        <v>179</v>
      </c>
      <c r="B107" s="162"/>
    </row>
    <row r="108" spans="1:2">
      <c r="A108" s="161" t="s">
        <v>181</v>
      </c>
      <c r="B108" s="162">
        <v>1</v>
      </c>
    </row>
    <row r="109" spans="1:2">
      <c r="A109" s="161" t="s">
        <v>182</v>
      </c>
      <c r="B109" s="162"/>
    </row>
    <row r="110" spans="1:2">
      <c r="A110" s="161" t="s">
        <v>174</v>
      </c>
      <c r="B110" s="162"/>
    </row>
    <row r="111" spans="1:2">
      <c r="A111" s="161" t="s">
        <v>175</v>
      </c>
      <c r="B111" s="162"/>
    </row>
    <row r="112" spans="1:2">
      <c r="A112" s="164" t="s">
        <v>238</v>
      </c>
      <c r="B112" s="165"/>
    </row>
    <row r="113" spans="1:2">
      <c r="A113" s="105" t="s">
        <v>158</v>
      </c>
      <c r="B113" s="99">
        <f>SUM(B102:B112)</f>
        <v>3</v>
      </c>
    </row>
    <row r="116" spans="1:2">
      <c r="A116" s="166" t="s">
        <v>183</v>
      </c>
      <c r="B116" s="163" t="s">
        <v>167</v>
      </c>
    </row>
    <row r="117" spans="1:2">
      <c r="A117" s="161" t="s">
        <v>176</v>
      </c>
      <c r="B117" s="162">
        <v>2</v>
      </c>
    </row>
    <row r="118" spans="1:2">
      <c r="A118" s="161" t="s">
        <v>180</v>
      </c>
      <c r="B118" s="162">
        <v>1</v>
      </c>
    </row>
    <row r="119" spans="1:2">
      <c r="A119" s="161" t="s">
        <v>177</v>
      </c>
      <c r="B119" s="162"/>
    </row>
    <row r="120" spans="1:2">
      <c r="A120" s="161" t="s">
        <v>178</v>
      </c>
      <c r="B120" s="162">
        <v>1</v>
      </c>
    </row>
    <row r="121" spans="1:2">
      <c r="A121" s="183" t="s">
        <v>279</v>
      </c>
      <c r="B121" s="184"/>
    </row>
    <row r="122" spans="1:2">
      <c r="A122" s="161" t="s">
        <v>179</v>
      </c>
      <c r="B122" s="162"/>
    </row>
    <row r="123" spans="1:2">
      <c r="A123" s="161" t="s">
        <v>181</v>
      </c>
      <c r="B123" s="162"/>
    </row>
    <row r="124" spans="1:2">
      <c r="A124" s="161" t="s">
        <v>182</v>
      </c>
      <c r="B124" s="162">
        <v>1</v>
      </c>
    </row>
    <row r="125" spans="1:2">
      <c r="A125" s="161" t="s">
        <v>174</v>
      </c>
      <c r="B125" s="162"/>
    </row>
    <row r="126" spans="1:2">
      <c r="A126" s="161" t="s">
        <v>175</v>
      </c>
      <c r="B126" s="162"/>
    </row>
    <row r="127" spans="1:2">
      <c r="A127" s="164" t="s">
        <v>238</v>
      </c>
      <c r="B127" s="165"/>
    </row>
    <row r="128" spans="1:2">
      <c r="A128" s="105" t="s">
        <v>158</v>
      </c>
      <c r="B128" s="99">
        <f>SUM(B117:B127)</f>
        <v>5</v>
      </c>
    </row>
  </sheetData>
  <sortState xmlns:xlrd2="http://schemas.microsoft.com/office/spreadsheetml/2017/richdata2" ref="A3:B3">
    <sortCondition ref="A2"/>
  </sortState>
  <pageMargins left="0.7" right="0.7" top="0.75" bottom="0.75" header="0.3" footer="0.3"/>
  <pageSetup orientation="portrait" r:id="rId1"/>
  <drawing r:id="rId2"/>
  <tableParts count="11">
    <tablePart r:id="rId3"/>
    <tablePart r:id="rId4"/>
    <tablePart r:id="rId5"/>
    <tablePart r:id="rId6"/>
    <tablePart r:id="rId7"/>
    <tablePart r:id="rId8"/>
    <tablePart r:id="rId9"/>
    <tablePart r:id="rId10"/>
    <tablePart r:id="rId11"/>
    <tablePart r:id="rId12"/>
    <tablePart r:id="rId1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J95"/>
  <sheetViews>
    <sheetView topLeftCell="B46" zoomScale="80" zoomScaleNormal="80" workbookViewId="0">
      <selection activeCell="I53" sqref="I53"/>
    </sheetView>
  </sheetViews>
  <sheetFormatPr baseColWidth="10" defaultRowHeight="15"/>
  <cols>
    <col min="1" max="1" width="64.5703125" customWidth="1"/>
    <col min="2" max="2" width="13.85546875" customWidth="1"/>
    <col min="9" max="9" width="76.28515625" customWidth="1"/>
    <col min="10" max="10" width="10.140625" customWidth="1"/>
  </cols>
  <sheetData>
    <row r="1" spans="1:10" ht="21" customHeight="1" thickBot="1">
      <c r="A1" s="168" t="s">
        <v>191</v>
      </c>
      <c r="B1" s="169" t="s">
        <v>167</v>
      </c>
      <c r="I1" s="168" t="s">
        <v>191</v>
      </c>
      <c r="J1" s="169" t="s">
        <v>167</v>
      </c>
    </row>
    <row r="2" spans="1:10" ht="15.75" thickBot="1">
      <c r="A2" s="106" t="s">
        <v>184</v>
      </c>
      <c r="B2" s="107"/>
      <c r="I2" s="106" t="s">
        <v>184</v>
      </c>
      <c r="J2" s="107"/>
    </row>
    <row r="3" spans="1:10" ht="37.5" customHeight="1" thickBot="1">
      <c r="A3" s="167" t="s">
        <v>185</v>
      </c>
      <c r="B3" s="109"/>
      <c r="I3" s="167" t="s">
        <v>185</v>
      </c>
      <c r="J3" s="109"/>
    </row>
    <row r="4" spans="1:10" ht="29.25" customHeight="1" thickBot="1">
      <c r="A4" s="108" t="s">
        <v>186</v>
      </c>
      <c r="B4" s="109"/>
      <c r="I4" s="108" t="s">
        <v>186</v>
      </c>
      <c r="J4" s="109"/>
    </row>
    <row r="5" spans="1:10" ht="15.75" thickBot="1">
      <c r="A5" s="108" t="s">
        <v>187</v>
      </c>
      <c r="B5" s="109"/>
      <c r="I5" s="108" t="s">
        <v>187</v>
      </c>
      <c r="J5" s="109">
        <v>1</v>
      </c>
    </row>
    <row r="6" spans="1:10" ht="15.75" thickBot="1">
      <c r="A6" s="108" t="s">
        <v>188</v>
      </c>
      <c r="B6" s="109"/>
      <c r="I6" s="108" t="s">
        <v>188</v>
      </c>
      <c r="J6" s="109"/>
    </row>
    <row r="7" spans="1:10" ht="15.75" thickBot="1">
      <c r="A7" s="108" t="s">
        <v>189</v>
      </c>
      <c r="B7" s="109"/>
      <c r="I7" s="108" t="s">
        <v>189</v>
      </c>
      <c r="J7" s="109"/>
    </row>
    <row r="8" spans="1:10">
      <c r="A8" s="170" t="s">
        <v>190</v>
      </c>
      <c r="B8" s="171">
        <v>1</v>
      </c>
      <c r="I8" s="170" t="s">
        <v>190</v>
      </c>
      <c r="J8" s="171"/>
    </row>
    <row r="9" spans="1:10">
      <c r="A9" s="172" t="s">
        <v>158</v>
      </c>
      <c r="B9" s="171"/>
      <c r="I9" s="172" t="s">
        <v>158</v>
      </c>
      <c r="J9" s="171"/>
    </row>
    <row r="11" spans="1:10" ht="15.75" thickBot="1">
      <c r="A11" s="168" t="s">
        <v>191</v>
      </c>
      <c r="B11" s="169" t="s">
        <v>167</v>
      </c>
    </row>
    <row r="12" spans="1:10" ht="15.75" thickBot="1">
      <c r="A12" s="106" t="s">
        <v>184</v>
      </c>
      <c r="B12" s="107"/>
    </row>
    <row r="13" spans="1:10" ht="30.75" thickBot="1">
      <c r="A13" s="167" t="s">
        <v>185</v>
      </c>
      <c r="B13" s="109">
        <v>1</v>
      </c>
    </row>
    <row r="14" spans="1:10" ht="15.75" thickBot="1">
      <c r="A14" s="108" t="s">
        <v>186</v>
      </c>
      <c r="B14" s="109"/>
    </row>
    <row r="15" spans="1:10" ht="15.75" thickBot="1">
      <c r="A15" s="108" t="s">
        <v>187</v>
      </c>
      <c r="B15" s="109"/>
    </row>
    <row r="16" spans="1:10" ht="15.75" thickBot="1">
      <c r="A16" s="108" t="s">
        <v>188</v>
      </c>
      <c r="B16" s="109">
        <v>1</v>
      </c>
    </row>
    <row r="17" spans="1:10" ht="15.75" thickBot="1">
      <c r="A17" s="108" t="s">
        <v>189</v>
      </c>
      <c r="B17" s="109"/>
    </row>
    <row r="18" spans="1:10">
      <c r="A18" s="170" t="s">
        <v>190</v>
      </c>
      <c r="B18" s="171"/>
    </row>
    <row r="19" spans="1:10">
      <c r="A19" s="172" t="s">
        <v>158</v>
      </c>
      <c r="B19" s="171">
        <f>SUBTOTAL(109,B12:B18)</f>
        <v>2</v>
      </c>
    </row>
    <row r="21" spans="1:10" ht="15.75" thickBot="1">
      <c r="A21" s="168" t="s">
        <v>191</v>
      </c>
      <c r="B21" s="169" t="s">
        <v>167</v>
      </c>
    </row>
    <row r="22" spans="1:10" ht="15.75" thickBot="1">
      <c r="A22" s="106" t="s">
        <v>184</v>
      </c>
      <c r="B22" s="107"/>
    </row>
    <row r="23" spans="1:10" ht="30.75" thickBot="1">
      <c r="A23" s="167" t="s">
        <v>185</v>
      </c>
      <c r="B23" s="109">
        <v>1</v>
      </c>
    </row>
    <row r="24" spans="1:10" ht="15.75" thickBot="1">
      <c r="A24" s="108" t="s">
        <v>186</v>
      </c>
      <c r="B24" s="109">
        <v>1</v>
      </c>
    </row>
    <row r="25" spans="1:10" ht="15.75" thickBot="1">
      <c r="A25" s="108" t="s">
        <v>187</v>
      </c>
      <c r="B25" s="109">
        <v>1</v>
      </c>
    </row>
    <row r="26" spans="1:10" ht="15.75" thickBot="1">
      <c r="A26" s="108" t="s">
        <v>188</v>
      </c>
      <c r="B26" s="109"/>
    </row>
    <row r="27" spans="1:10" ht="15.75" thickBot="1">
      <c r="A27" s="108" t="s">
        <v>189</v>
      </c>
      <c r="B27" s="109">
        <v>1</v>
      </c>
    </row>
    <row r="28" spans="1:10">
      <c r="A28" s="170" t="s">
        <v>190</v>
      </c>
      <c r="B28" s="171"/>
    </row>
    <row r="29" spans="1:10">
      <c r="A29" s="172" t="s">
        <v>158</v>
      </c>
      <c r="B29" s="171">
        <f>SUBTOTAL(109,B22:B28)</f>
        <v>4</v>
      </c>
    </row>
    <row r="32" spans="1:10" ht="15.75" thickBot="1">
      <c r="A32" s="168" t="s">
        <v>191</v>
      </c>
      <c r="B32" s="169" t="s">
        <v>167</v>
      </c>
      <c r="I32" s="168" t="s">
        <v>191</v>
      </c>
      <c r="J32" s="169" t="s">
        <v>167</v>
      </c>
    </row>
    <row r="33" spans="1:10" ht="15.75" thickBot="1">
      <c r="A33" s="106" t="s">
        <v>184</v>
      </c>
      <c r="B33" s="107"/>
      <c r="I33" s="106" t="s">
        <v>184</v>
      </c>
      <c r="J33" s="107"/>
    </row>
    <row r="34" spans="1:10" ht="30.75" thickBot="1">
      <c r="A34" s="167" t="s">
        <v>185</v>
      </c>
      <c r="B34" s="109">
        <v>1</v>
      </c>
      <c r="I34" s="167" t="s">
        <v>185</v>
      </c>
      <c r="J34" s="109">
        <v>1</v>
      </c>
    </row>
    <row r="35" spans="1:10" ht="15.75" thickBot="1">
      <c r="A35" s="108" t="s">
        <v>186</v>
      </c>
      <c r="B35" s="109"/>
      <c r="I35" s="108" t="s">
        <v>186</v>
      </c>
      <c r="J35" s="109"/>
    </row>
    <row r="36" spans="1:10" ht="15.75" thickBot="1">
      <c r="A36" s="108" t="s">
        <v>187</v>
      </c>
      <c r="B36" s="109">
        <v>2</v>
      </c>
      <c r="I36" s="108" t="s">
        <v>187</v>
      </c>
      <c r="J36" s="109"/>
    </row>
    <row r="37" spans="1:10" ht="15.75" thickBot="1">
      <c r="A37" s="108" t="s">
        <v>188</v>
      </c>
      <c r="B37" s="109">
        <v>2</v>
      </c>
      <c r="I37" s="108" t="s">
        <v>188</v>
      </c>
      <c r="J37" s="109">
        <v>1</v>
      </c>
    </row>
    <row r="38" spans="1:10" ht="15.75" thickBot="1">
      <c r="A38" s="108" t="s">
        <v>189</v>
      </c>
      <c r="B38" s="109"/>
      <c r="I38" s="108" t="s">
        <v>189</v>
      </c>
      <c r="J38" s="109"/>
    </row>
    <row r="39" spans="1:10">
      <c r="A39" s="170" t="s">
        <v>190</v>
      </c>
      <c r="B39" s="171"/>
      <c r="I39" s="170" t="s">
        <v>190</v>
      </c>
      <c r="J39" s="171"/>
    </row>
    <row r="40" spans="1:10">
      <c r="A40" s="172" t="s">
        <v>158</v>
      </c>
      <c r="B40" s="171">
        <f>SUBTOTAL(109,B33:B39)</f>
        <v>5</v>
      </c>
      <c r="I40" s="172" t="s">
        <v>158</v>
      </c>
      <c r="J40" s="171"/>
    </row>
    <row r="43" spans="1:10" ht="15.75" thickBot="1">
      <c r="A43" s="168" t="s">
        <v>191</v>
      </c>
      <c r="B43" s="169" t="s">
        <v>167</v>
      </c>
    </row>
    <row r="44" spans="1:10" ht="15.75" thickBot="1">
      <c r="A44" s="106" t="s">
        <v>184</v>
      </c>
      <c r="B44" s="107"/>
    </row>
    <row r="45" spans="1:10" ht="30.75" thickBot="1">
      <c r="A45" s="167" t="s">
        <v>185</v>
      </c>
      <c r="B45" s="109"/>
    </row>
    <row r="46" spans="1:10" ht="15.75" thickBot="1">
      <c r="A46" s="108" t="s">
        <v>186</v>
      </c>
      <c r="B46" s="109"/>
    </row>
    <row r="47" spans="1:10" ht="15.75" thickBot="1">
      <c r="A47" s="108" t="s">
        <v>187</v>
      </c>
      <c r="B47" s="109">
        <v>1</v>
      </c>
    </row>
    <row r="48" spans="1:10" ht="15.75" thickBot="1">
      <c r="A48" s="108" t="s">
        <v>188</v>
      </c>
      <c r="B48" s="109"/>
    </row>
    <row r="49" spans="1:2" ht="15.75" thickBot="1">
      <c r="A49" s="108" t="s">
        <v>189</v>
      </c>
      <c r="B49" s="109"/>
    </row>
    <row r="50" spans="1:2">
      <c r="A50" s="170" t="s">
        <v>190</v>
      </c>
      <c r="B50" s="171"/>
    </row>
    <row r="51" spans="1:2">
      <c r="A51" s="172" t="s">
        <v>158</v>
      </c>
      <c r="B51" s="171">
        <f>SUBTOTAL(109,B44:B50)</f>
        <v>1</v>
      </c>
    </row>
    <row r="54" spans="1:2" ht="15.75" thickBot="1">
      <c r="A54" s="168" t="s">
        <v>191</v>
      </c>
      <c r="B54" s="169" t="s">
        <v>167</v>
      </c>
    </row>
    <row r="55" spans="1:2" ht="15.75" thickBot="1">
      <c r="A55" s="106" t="s">
        <v>184</v>
      </c>
      <c r="B55" s="107"/>
    </row>
    <row r="56" spans="1:2" ht="30.75" thickBot="1">
      <c r="A56" s="167" t="s">
        <v>185</v>
      </c>
      <c r="B56" s="109">
        <v>1</v>
      </c>
    </row>
    <row r="57" spans="1:2" ht="15.75" thickBot="1">
      <c r="A57" s="108" t="s">
        <v>186</v>
      </c>
      <c r="B57" s="109"/>
    </row>
    <row r="58" spans="1:2" ht="15.75" thickBot="1">
      <c r="A58" s="108" t="s">
        <v>187</v>
      </c>
      <c r="B58" s="109">
        <v>1</v>
      </c>
    </row>
    <row r="59" spans="1:2" ht="15.75" thickBot="1">
      <c r="A59" s="108" t="s">
        <v>188</v>
      </c>
      <c r="B59" s="109"/>
    </row>
    <row r="60" spans="1:2" ht="15.75" thickBot="1">
      <c r="A60" s="108" t="s">
        <v>189</v>
      </c>
      <c r="B60" s="109">
        <v>1</v>
      </c>
    </row>
    <row r="61" spans="1:2">
      <c r="A61" s="170" t="s">
        <v>190</v>
      </c>
      <c r="B61" s="171">
        <v>1</v>
      </c>
    </row>
    <row r="62" spans="1:2">
      <c r="A62" s="172" t="s">
        <v>158</v>
      </c>
      <c r="B62" s="171">
        <f>SUBTOTAL(109,B55:B61)</f>
        <v>4</v>
      </c>
    </row>
    <row r="65" spans="1:2" ht="15.75" thickBot="1">
      <c r="A65" s="168" t="s">
        <v>191</v>
      </c>
      <c r="B65" s="169" t="s">
        <v>167</v>
      </c>
    </row>
    <row r="66" spans="1:2" ht="15.75" thickBot="1">
      <c r="A66" s="106" t="s">
        <v>184</v>
      </c>
      <c r="B66" s="107"/>
    </row>
    <row r="67" spans="1:2" ht="30.75" thickBot="1">
      <c r="A67" s="167" t="s">
        <v>185</v>
      </c>
      <c r="B67" s="109">
        <v>3</v>
      </c>
    </row>
    <row r="68" spans="1:2" ht="15.75" thickBot="1">
      <c r="A68" s="108" t="s">
        <v>186</v>
      </c>
      <c r="B68" s="109"/>
    </row>
    <row r="69" spans="1:2" ht="15.75" thickBot="1">
      <c r="A69" s="108" t="s">
        <v>187</v>
      </c>
      <c r="B69" s="109"/>
    </row>
    <row r="70" spans="1:2" ht="15.75" thickBot="1">
      <c r="A70" s="108" t="s">
        <v>188</v>
      </c>
      <c r="B70" s="109"/>
    </row>
    <row r="71" spans="1:2" ht="15.75" thickBot="1">
      <c r="A71" s="108" t="s">
        <v>189</v>
      </c>
      <c r="B71" s="109"/>
    </row>
    <row r="72" spans="1:2">
      <c r="A72" s="170" t="s">
        <v>190</v>
      </c>
      <c r="B72" s="171"/>
    </row>
    <row r="73" spans="1:2">
      <c r="A73" s="172" t="s">
        <v>158</v>
      </c>
      <c r="B73" s="171">
        <f>SUBTOTAL(109,B66:B72)</f>
        <v>3</v>
      </c>
    </row>
    <row r="76" spans="1:2" ht="15.75" thickBot="1">
      <c r="A76" s="168" t="s">
        <v>191</v>
      </c>
      <c r="B76" s="169" t="s">
        <v>167</v>
      </c>
    </row>
    <row r="77" spans="1:2" ht="15.75" thickBot="1">
      <c r="A77" s="106" t="s">
        <v>184</v>
      </c>
      <c r="B77" s="107"/>
    </row>
    <row r="78" spans="1:2" ht="30.75" thickBot="1">
      <c r="A78" s="167" t="s">
        <v>185</v>
      </c>
      <c r="B78" s="109">
        <v>1</v>
      </c>
    </row>
    <row r="79" spans="1:2" ht="15.75" thickBot="1">
      <c r="A79" s="108" t="s">
        <v>186</v>
      </c>
      <c r="B79" s="109"/>
    </row>
    <row r="80" spans="1:2" ht="15.75" thickBot="1">
      <c r="A80" s="108" t="s">
        <v>187</v>
      </c>
      <c r="B80" s="109">
        <v>2</v>
      </c>
    </row>
    <row r="81" spans="1:2" ht="15.75" thickBot="1">
      <c r="A81" s="108" t="s">
        <v>188</v>
      </c>
      <c r="B81" s="109"/>
    </row>
    <row r="82" spans="1:2" ht="15.75" thickBot="1">
      <c r="A82" s="108" t="s">
        <v>189</v>
      </c>
      <c r="B82" s="109"/>
    </row>
    <row r="83" spans="1:2">
      <c r="A83" s="170" t="s">
        <v>190</v>
      </c>
      <c r="B83" s="171"/>
    </row>
    <row r="84" spans="1:2">
      <c r="A84" s="172" t="s">
        <v>158</v>
      </c>
      <c r="B84" s="171">
        <f>SUBTOTAL(109,B77:B83)</f>
        <v>3</v>
      </c>
    </row>
    <row r="87" spans="1:2" ht="15.75" thickBot="1">
      <c r="A87" s="168" t="s">
        <v>191</v>
      </c>
      <c r="B87" s="169" t="s">
        <v>167</v>
      </c>
    </row>
    <row r="88" spans="1:2" ht="15.75" thickBot="1">
      <c r="A88" s="106" t="s">
        <v>291</v>
      </c>
      <c r="B88" s="107">
        <v>1</v>
      </c>
    </row>
    <row r="89" spans="1:2" ht="30.75" thickBot="1">
      <c r="A89" s="167" t="s">
        <v>185</v>
      </c>
      <c r="B89" s="109">
        <v>1</v>
      </c>
    </row>
    <row r="90" spans="1:2" ht="15.75" thickBot="1">
      <c r="A90" s="108" t="s">
        <v>186</v>
      </c>
      <c r="B90" s="109"/>
    </row>
    <row r="91" spans="1:2" ht="15.75" thickBot="1">
      <c r="A91" s="108" t="s">
        <v>187</v>
      </c>
      <c r="B91" s="109">
        <v>1</v>
      </c>
    </row>
    <row r="92" spans="1:2" ht="15.75" thickBot="1">
      <c r="A92" s="108" t="s">
        <v>188</v>
      </c>
      <c r="B92" s="109">
        <v>1</v>
      </c>
    </row>
    <row r="93" spans="1:2" ht="15.75" thickBot="1">
      <c r="A93" s="108" t="s">
        <v>189</v>
      </c>
      <c r="B93" s="109">
        <v>1</v>
      </c>
    </row>
    <row r="94" spans="1:2">
      <c r="A94" s="170" t="s">
        <v>190</v>
      </c>
      <c r="B94" s="171"/>
    </row>
    <row r="95" spans="1:2">
      <c r="A95" s="172" t="s">
        <v>158</v>
      </c>
      <c r="B95" s="171">
        <f>SUBTOTAL(109,B88:B94)</f>
        <v>5</v>
      </c>
    </row>
  </sheetData>
  <sortState xmlns:xlrd2="http://schemas.microsoft.com/office/spreadsheetml/2017/richdata2" ref="A2:B8">
    <sortCondition ref="B2:B8"/>
  </sortState>
  <pageMargins left="0.7" right="0.7" top="0.75" bottom="0.75" header="0.3" footer="0.3"/>
  <pageSetup orientation="portrait" r:id="rId1"/>
  <drawing r:id="rId2"/>
  <tableParts count="11">
    <tablePart r:id="rId3"/>
    <tablePart r:id="rId4"/>
    <tablePart r:id="rId5"/>
    <tablePart r:id="rId6"/>
    <tablePart r:id="rId7"/>
    <tablePart r:id="rId8"/>
    <tablePart r:id="rId9"/>
    <tablePart r:id="rId10"/>
    <tablePart r:id="rId11"/>
    <tablePart r:id="rId12"/>
    <tablePart r:id="rId1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M103"/>
  <sheetViews>
    <sheetView topLeftCell="A52" zoomScale="80" zoomScaleNormal="80" workbookViewId="0">
      <selection activeCell="E68" sqref="E68"/>
    </sheetView>
  </sheetViews>
  <sheetFormatPr baseColWidth="10" defaultRowHeight="15"/>
  <cols>
    <col min="1" max="1" width="67.5703125" customWidth="1"/>
    <col min="2" max="2" width="18.42578125" customWidth="1"/>
    <col min="11" max="11" width="58.5703125" customWidth="1"/>
    <col min="12" max="12" width="13" customWidth="1"/>
  </cols>
  <sheetData>
    <row r="1" spans="1:13">
      <c r="A1" s="101" t="s">
        <v>166</v>
      </c>
      <c r="B1" s="101" t="s">
        <v>167</v>
      </c>
    </row>
    <row r="2" spans="1:13">
      <c r="A2" s="102" t="s">
        <v>168</v>
      </c>
      <c r="B2" s="99"/>
      <c r="L2" s="101" t="s">
        <v>166</v>
      </c>
      <c r="M2" s="101" t="s">
        <v>167</v>
      </c>
    </row>
    <row r="3" spans="1:13" ht="30" customHeight="1">
      <c r="A3" s="102" t="s">
        <v>170</v>
      </c>
      <c r="B3" s="99"/>
      <c r="L3" s="102" t="s">
        <v>168</v>
      </c>
      <c r="M3" s="99"/>
    </row>
    <row r="4" spans="1:13">
      <c r="A4" s="102" t="s">
        <v>171</v>
      </c>
      <c r="B4" s="99"/>
      <c r="L4" s="102" t="s">
        <v>170</v>
      </c>
      <c r="M4" s="99"/>
    </row>
    <row r="5" spans="1:13" ht="30">
      <c r="A5" s="102" t="s">
        <v>261</v>
      </c>
      <c r="B5" s="99"/>
      <c r="L5" s="102" t="s">
        <v>171</v>
      </c>
      <c r="M5" s="99"/>
    </row>
    <row r="6" spans="1:13" ht="30">
      <c r="A6" s="102" t="s">
        <v>172</v>
      </c>
      <c r="B6" s="99"/>
      <c r="L6" s="102" t="s">
        <v>261</v>
      </c>
      <c r="M6" s="99"/>
    </row>
    <row r="7" spans="1:13" ht="45.75" customHeight="1">
      <c r="A7" s="102" t="s">
        <v>173</v>
      </c>
      <c r="B7" s="99">
        <v>1</v>
      </c>
      <c r="L7" s="102" t="s">
        <v>172</v>
      </c>
      <c r="M7" s="99"/>
    </row>
    <row r="8" spans="1:13" ht="33.75" customHeight="1">
      <c r="A8" s="102" t="s">
        <v>169</v>
      </c>
      <c r="B8" s="99"/>
      <c r="L8" s="102" t="s">
        <v>173</v>
      </c>
      <c r="M8" s="99"/>
    </row>
    <row r="9" spans="1:13" ht="15" customHeight="1">
      <c r="A9" s="103" t="s">
        <v>158</v>
      </c>
      <c r="B9" s="99"/>
      <c r="L9" s="102" t="s">
        <v>169</v>
      </c>
      <c r="M9" s="99"/>
    </row>
    <row r="11" spans="1:13">
      <c r="A11" s="101" t="s">
        <v>166</v>
      </c>
      <c r="B11" s="101" t="s">
        <v>167</v>
      </c>
    </row>
    <row r="12" spans="1:13">
      <c r="A12" s="102" t="s">
        <v>168</v>
      </c>
      <c r="B12" s="99"/>
    </row>
    <row r="13" spans="1:13">
      <c r="A13" s="102" t="s">
        <v>170</v>
      </c>
      <c r="B13" s="99"/>
    </row>
    <row r="14" spans="1:13">
      <c r="A14" s="102" t="s">
        <v>171</v>
      </c>
      <c r="B14" s="99"/>
    </row>
    <row r="15" spans="1:13">
      <c r="A15" s="102" t="s">
        <v>261</v>
      </c>
      <c r="B15" s="99"/>
    </row>
    <row r="16" spans="1:13" ht="30">
      <c r="A16" s="102" t="s">
        <v>172</v>
      </c>
      <c r="B16" s="99">
        <v>1</v>
      </c>
    </row>
    <row r="17" spans="1:2" ht="30">
      <c r="A17" s="102" t="s">
        <v>173</v>
      </c>
      <c r="B17" s="99"/>
    </row>
    <row r="18" spans="1:2">
      <c r="A18" s="102" t="s">
        <v>169</v>
      </c>
      <c r="B18" s="99"/>
    </row>
    <row r="19" spans="1:2">
      <c r="A19" s="103" t="s">
        <v>158</v>
      </c>
      <c r="B19" s="99"/>
    </row>
    <row r="22" spans="1:2">
      <c r="A22" s="101" t="s">
        <v>166</v>
      </c>
      <c r="B22" s="101" t="s">
        <v>167</v>
      </c>
    </row>
    <row r="23" spans="1:2">
      <c r="A23" s="102" t="s">
        <v>168</v>
      </c>
      <c r="B23" s="99"/>
    </row>
    <row r="24" spans="1:2">
      <c r="A24" s="102" t="s">
        <v>170</v>
      </c>
      <c r="B24" s="99"/>
    </row>
    <row r="25" spans="1:2">
      <c r="A25" s="102" t="s">
        <v>171</v>
      </c>
      <c r="B25" s="99"/>
    </row>
    <row r="26" spans="1:2">
      <c r="A26" s="102" t="s">
        <v>261</v>
      </c>
      <c r="B26" s="99"/>
    </row>
    <row r="27" spans="1:2" ht="30">
      <c r="A27" s="102" t="s">
        <v>172</v>
      </c>
      <c r="B27" s="99">
        <v>1</v>
      </c>
    </row>
    <row r="28" spans="1:2" ht="30">
      <c r="A28" s="102" t="s">
        <v>173</v>
      </c>
      <c r="B28" s="99"/>
    </row>
    <row r="29" spans="1:2">
      <c r="A29" s="102" t="s">
        <v>276</v>
      </c>
      <c r="B29" s="99">
        <v>2</v>
      </c>
    </row>
    <row r="30" spans="1:2">
      <c r="A30" s="102" t="s">
        <v>277</v>
      </c>
      <c r="B30" s="99">
        <v>1</v>
      </c>
    </row>
    <row r="31" spans="1:2">
      <c r="A31" s="103" t="s">
        <v>158</v>
      </c>
      <c r="B31" s="99">
        <f>SUM(B23:B30)</f>
        <v>4</v>
      </c>
    </row>
    <row r="34" spans="1:12" ht="21" customHeight="1">
      <c r="A34" s="101" t="s">
        <v>166</v>
      </c>
      <c r="B34" s="101" t="s">
        <v>167</v>
      </c>
      <c r="K34" s="101" t="s">
        <v>166</v>
      </c>
      <c r="L34" s="101" t="s">
        <v>167</v>
      </c>
    </row>
    <row r="35" spans="1:12">
      <c r="A35" s="102" t="s">
        <v>168</v>
      </c>
      <c r="B35" s="99"/>
      <c r="K35" s="102" t="s">
        <v>168</v>
      </c>
      <c r="L35" s="99"/>
    </row>
    <row r="36" spans="1:12">
      <c r="A36" s="102" t="s">
        <v>170</v>
      </c>
      <c r="B36" s="99"/>
      <c r="K36" s="102" t="s">
        <v>170</v>
      </c>
      <c r="L36" s="99"/>
    </row>
    <row r="37" spans="1:12">
      <c r="A37" s="102" t="s">
        <v>171</v>
      </c>
      <c r="B37" s="99"/>
      <c r="K37" s="102" t="s">
        <v>171</v>
      </c>
      <c r="L37" s="99"/>
    </row>
    <row r="38" spans="1:12">
      <c r="A38" s="102" t="s">
        <v>261</v>
      </c>
      <c r="B38" s="99"/>
      <c r="K38" s="102" t="s">
        <v>261</v>
      </c>
      <c r="L38" s="99"/>
    </row>
    <row r="39" spans="1:12" ht="40.5" customHeight="1">
      <c r="A39" s="102" t="s">
        <v>172</v>
      </c>
      <c r="B39" s="99">
        <v>1</v>
      </c>
      <c r="K39" s="102" t="s">
        <v>172</v>
      </c>
      <c r="L39" s="186">
        <v>2</v>
      </c>
    </row>
    <row r="40" spans="1:12" ht="44.25" customHeight="1">
      <c r="A40" s="102" t="s">
        <v>173</v>
      </c>
      <c r="B40" s="99"/>
      <c r="K40" s="102" t="s">
        <v>173</v>
      </c>
      <c r="L40" s="99"/>
    </row>
    <row r="41" spans="1:12">
      <c r="A41" s="102" t="s">
        <v>276</v>
      </c>
      <c r="B41" s="99">
        <v>4</v>
      </c>
      <c r="K41" s="102" t="s">
        <v>169</v>
      </c>
      <c r="L41" s="99"/>
    </row>
    <row r="42" spans="1:12">
      <c r="A42" s="102" t="s">
        <v>277</v>
      </c>
      <c r="B42" s="99"/>
    </row>
    <row r="43" spans="1:12">
      <c r="A43" s="103" t="s">
        <v>158</v>
      </c>
      <c r="B43" s="99">
        <f>SUM(B35:B42)</f>
        <v>5</v>
      </c>
    </row>
    <row r="46" spans="1:12">
      <c r="A46" s="101" t="s">
        <v>166</v>
      </c>
      <c r="B46" s="101" t="s">
        <v>167</v>
      </c>
    </row>
    <row r="47" spans="1:12">
      <c r="A47" s="102" t="s">
        <v>168</v>
      </c>
      <c r="B47" s="99"/>
    </row>
    <row r="48" spans="1:12">
      <c r="A48" s="102" t="s">
        <v>170</v>
      </c>
      <c r="B48" s="99">
        <v>1</v>
      </c>
    </row>
    <row r="49" spans="1:2">
      <c r="A49" s="102" t="s">
        <v>171</v>
      </c>
      <c r="B49" s="99"/>
    </row>
    <row r="50" spans="1:2">
      <c r="A50" s="102" t="s">
        <v>261</v>
      </c>
      <c r="B50" s="99"/>
    </row>
    <row r="51" spans="1:2" ht="30">
      <c r="A51" s="102" t="s">
        <v>172</v>
      </c>
      <c r="B51" s="99"/>
    </row>
    <row r="52" spans="1:2" ht="30">
      <c r="A52" s="102" t="s">
        <v>173</v>
      </c>
      <c r="B52" s="99"/>
    </row>
    <row r="53" spans="1:2">
      <c r="A53" s="102" t="s">
        <v>276</v>
      </c>
      <c r="B53" s="99"/>
    </row>
    <row r="54" spans="1:2">
      <c r="A54" s="102" t="s">
        <v>277</v>
      </c>
      <c r="B54" s="99"/>
    </row>
    <row r="55" spans="1:2">
      <c r="A55" s="103" t="s">
        <v>158</v>
      </c>
      <c r="B55" s="99">
        <f>SUM(B47:B54)</f>
        <v>1</v>
      </c>
    </row>
    <row r="58" spans="1:2">
      <c r="A58" s="101" t="s">
        <v>166</v>
      </c>
      <c r="B58" s="101" t="s">
        <v>167</v>
      </c>
    </row>
    <row r="59" spans="1:2">
      <c r="A59" s="102" t="s">
        <v>168</v>
      </c>
      <c r="B59" s="99"/>
    </row>
    <row r="60" spans="1:2">
      <c r="A60" s="102" t="s">
        <v>170</v>
      </c>
      <c r="B60" s="99">
        <v>2</v>
      </c>
    </row>
    <row r="61" spans="1:2">
      <c r="A61" s="102" t="s">
        <v>171</v>
      </c>
      <c r="B61" s="99"/>
    </row>
    <row r="62" spans="1:2">
      <c r="A62" s="102" t="s">
        <v>261</v>
      </c>
      <c r="B62" s="99"/>
    </row>
    <row r="63" spans="1:2" ht="30">
      <c r="A63" s="102" t="s">
        <v>172</v>
      </c>
      <c r="B63" s="99">
        <v>2</v>
      </c>
    </row>
    <row r="64" spans="1:2" ht="30">
      <c r="A64" s="102" t="s">
        <v>173</v>
      </c>
      <c r="B64" s="99"/>
    </row>
    <row r="65" spans="1:2">
      <c r="A65" s="102" t="s">
        <v>276</v>
      </c>
      <c r="B65" s="99"/>
    </row>
    <row r="66" spans="1:2">
      <c r="A66" s="102" t="s">
        <v>277</v>
      </c>
      <c r="B66" s="99"/>
    </row>
    <row r="67" spans="1:2">
      <c r="A67" s="103" t="s">
        <v>158</v>
      </c>
      <c r="B67" s="99">
        <f>SUM(B59:B66)</f>
        <v>4</v>
      </c>
    </row>
    <row r="70" spans="1:2">
      <c r="A70" s="101" t="s">
        <v>166</v>
      </c>
      <c r="B70" s="101" t="s">
        <v>167</v>
      </c>
    </row>
    <row r="71" spans="1:2">
      <c r="A71" s="102" t="s">
        <v>168</v>
      </c>
      <c r="B71" s="99"/>
    </row>
    <row r="72" spans="1:2">
      <c r="A72" s="102" t="s">
        <v>170</v>
      </c>
      <c r="B72" s="99"/>
    </row>
    <row r="73" spans="1:2">
      <c r="A73" s="102" t="s">
        <v>171</v>
      </c>
      <c r="B73" s="99"/>
    </row>
    <row r="74" spans="1:2">
      <c r="A74" s="102" t="s">
        <v>261</v>
      </c>
      <c r="B74" s="99"/>
    </row>
    <row r="75" spans="1:2" ht="30">
      <c r="A75" s="102" t="s">
        <v>172</v>
      </c>
      <c r="B75" s="99"/>
    </row>
    <row r="76" spans="1:2" ht="30">
      <c r="A76" s="102" t="s">
        <v>173</v>
      </c>
      <c r="B76" s="99"/>
    </row>
    <row r="77" spans="1:2">
      <c r="A77" s="102" t="s">
        <v>276</v>
      </c>
      <c r="B77" s="99">
        <v>3</v>
      </c>
    </row>
    <row r="78" spans="1:2">
      <c r="A78" s="102" t="s">
        <v>277</v>
      </c>
      <c r="B78" s="99"/>
    </row>
    <row r="79" spans="1:2">
      <c r="A79" s="103" t="s">
        <v>158</v>
      </c>
      <c r="B79" s="99">
        <f>SUM(B71:B78)</f>
        <v>3</v>
      </c>
    </row>
    <row r="82" spans="1:2">
      <c r="A82" s="101" t="s">
        <v>166</v>
      </c>
      <c r="B82" s="101" t="s">
        <v>167</v>
      </c>
    </row>
    <row r="83" spans="1:2">
      <c r="A83" s="102" t="s">
        <v>168</v>
      </c>
      <c r="B83" s="99"/>
    </row>
    <row r="84" spans="1:2">
      <c r="A84" s="102" t="s">
        <v>170</v>
      </c>
      <c r="B84" s="99"/>
    </row>
    <row r="85" spans="1:2">
      <c r="A85" s="102" t="s">
        <v>171</v>
      </c>
      <c r="B85" s="99"/>
    </row>
    <row r="86" spans="1:2">
      <c r="A86" s="102" t="s">
        <v>261</v>
      </c>
      <c r="B86" s="99"/>
    </row>
    <row r="87" spans="1:2" ht="30">
      <c r="A87" s="102" t="s">
        <v>172</v>
      </c>
      <c r="B87" s="99">
        <v>1</v>
      </c>
    </row>
    <row r="88" spans="1:2" ht="30">
      <c r="A88" s="102" t="s">
        <v>173</v>
      </c>
      <c r="B88" s="99"/>
    </row>
    <row r="89" spans="1:2">
      <c r="A89" s="102" t="s">
        <v>276</v>
      </c>
      <c r="B89" s="99">
        <v>2</v>
      </c>
    </row>
    <row r="90" spans="1:2">
      <c r="A90" s="102" t="s">
        <v>277</v>
      </c>
      <c r="B90" s="99"/>
    </row>
    <row r="91" spans="1:2">
      <c r="A91" s="103" t="s">
        <v>158</v>
      </c>
      <c r="B91" s="99">
        <f>SUM(B83:B90)</f>
        <v>3</v>
      </c>
    </row>
    <row r="94" spans="1:2">
      <c r="A94" s="101" t="s">
        <v>166</v>
      </c>
      <c r="B94" s="101" t="s">
        <v>167</v>
      </c>
    </row>
    <row r="95" spans="1:2">
      <c r="A95" s="102" t="s">
        <v>168</v>
      </c>
      <c r="B95" s="99"/>
    </row>
    <row r="96" spans="1:2">
      <c r="A96" s="102" t="s">
        <v>170</v>
      </c>
      <c r="B96" s="99"/>
    </row>
    <row r="97" spans="1:2">
      <c r="A97" s="102" t="s">
        <v>171</v>
      </c>
      <c r="B97" s="99"/>
    </row>
    <row r="98" spans="1:2">
      <c r="A98" s="102" t="s">
        <v>261</v>
      </c>
      <c r="B98" s="99"/>
    </row>
    <row r="99" spans="1:2" ht="30">
      <c r="A99" s="102" t="s">
        <v>172</v>
      </c>
      <c r="B99" s="99">
        <v>1</v>
      </c>
    </row>
    <row r="100" spans="1:2" ht="30">
      <c r="A100" s="102" t="s">
        <v>173</v>
      </c>
      <c r="B100" s="99"/>
    </row>
    <row r="101" spans="1:2">
      <c r="A101" s="102" t="s">
        <v>276</v>
      </c>
      <c r="B101" s="99">
        <v>4</v>
      </c>
    </row>
    <row r="102" spans="1:2">
      <c r="A102" s="102" t="s">
        <v>277</v>
      </c>
      <c r="B102" s="99"/>
    </row>
    <row r="103" spans="1:2">
      <c r="A103" s="103" t="s">
        <v>158</v>
      </c>
      <c r="B103" s="99">
        <f>SUM(B95:B102)</f>
        <v>5</v>
      </c>
    </row>
  </sheetData>
  <sortState xmlns:xlrd2="http://schemas.microsoft.com/office/spreadsheetml/2017/richdata2" ref="A2:B9">
    <sortCondition ref="B2:B9"/>
  </sortState>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J113"/>
  <sheetViews>
    <sheetView topLeftCell="A61" zoomScale="70" zoomScaleNormal="70" workbookViewId="0">
      <selection activeCell="I72" sqref="I72"/>
    </sheetView>
  </sheetViews>
  <sheetFormatPr baseColWidth="10" defaultRowHeight="15"/>
  <cols>
    <col min="1" max="1" width="63.42578125" customWidth="1"/>
    <col min="2" max="2" width="15" customWidth="1"/>
    <col min="9" max="9" width="59.140625" customWidth="1"/>
  </cols>
  <sheetData>
    <row r="1" spans="1:10">
      <c r="A1" s="101" t="s">
        <v>192</v>
      </c>
      <c r="B1" s="101" t="s">
        <v>167</v>
      </c>
    </row>
    <row r="2" spans="1:10">
      <c r="A2" s="104" t="s">
        <v>194</v>
      </c>
      <c r="B2" s="105"/>
      <c r="I2" s="101" t="s">
        <v>192</v>
      </c>
      <c r="J2" s="101" t="s">
        <v>167</v>
      </c>
    </row>
    <row r="3" spans="1:10">
      <c r="A3" s="104" t="s">
        <v>294</v>
      </c>
      <c r="B3" s="105">
        <v>1</v>
      </c>
      <c r="I3" s="104" t="s">
        <v>194</v>
      </c>
      <c r="J3" s="105"/>
    </row>
    <row r="4" spans="1:10">
      <c r="A4" s="104" t="s">
        <v>195</v>
      </c>
      <c r="B4" s="105"/>
      <c r="I4" s="104" t="s">
        <v>330</v>
      </c>
      <c r="J4" s="105">
        <v>1</v>
      </c>
    </row>
    <row r="5" spans="1:10">
      <c r="A5" s="104" t="s">
        <v>200</v>
      </c>
      <c r="B5" s="105"/>
      <c r="I5" s="104" t="s">
        <v>195</v>
      </c>
      <c r="J5" s="105"/>
    </row>
    <row r="6" spans="1:10">
      <c r="A6" s="104" t="s">
        <v>201</v>
      </c>
      <c r="B6" s="105"/>
      <c r="I6" s="104" t="s">
        <v>200</v>
      </c>
      <c r="J6" s="105"/>
    </row>
    <row r="7" spans="1:10">
      <c r="A7" s="104" t="s">
        <v>193</v>
      </c>
      <c r="B7" s="105"/>
      <c r="I7" s="104" t="s">
        <v>201</v>
      </c>
      <c r="J7" s="105"/>
    </row>
    <row r="8" spans="1:10">
      <c r="A8" s="104" t="s">
        <v>196</v>
      </c>
      <c r="B8" s="105"/>
      <c r="I8" s="104" t="s">
        <v>193</v>
      </c>
      <c r="J8" s="105"/>
    </row>
    <row r="9" spans="1:10" ht="30">
      <c r="A9" s="176" t="s">
        <v>197</v>
      </c>
      <c r="B9" s="105"/>
      <c r="I9" s="104" t="s">
        <v>196</v>
      </c>
      <c r="J9" s="105"/>
    </row>
    <row r="10" spans="1:10" ht="28.5" customHeight="1">
      <c r="A10" s="104" t="s">
        <v>198</v>
      </c>
      <c r="B10" s="105"/>
      <c r="I10" s="176" t="s">
        <v>197</v>
      </c>
      <c r="J10" s="105"/>
    </row>
    <row r="11" spans="1:10">
      <c r="A11" s="99" t="s">
        <v>158</v>
      </c>
      <c r="B11" s="99"/>
      <c r="I11" s="104" t="s">
        <v>198</v>
      </c>
      <c r="J11" s="105"/>
    </row>
    <row r="12" spans="1:10">
      <c r="I12" s="99" t="s">
        <v>158</v>
      </c>
      <c r="J12" s="99"/>
    </row>
    <row r="13" spans="1:10">
      <c r="A13" s="101" t="s">
        <v>192</v>
      </c>
      <c r="B13" s="101" t="s">
        <v>167</v>
      </c>
    </row>
    <row r="14" spans="1:10">
      <c r="A14" s="104" t="s">
        <v>194</v>
      </c>
      <c r="B14" s="105"/>
    </row>
    <row r="15" spans="1:10">
      <c r="A15" s="104" t="s">
        <v>199</v>
      </c>
      <c r="B15" s="105"/>
    </row>
    <row r="16" spans="1:10">
      <c r="A16" s="104" t="s">
        <v>195</v>
      </c>
      <c r="B16" s="105"/>
    </row>
    <row r="17" spans="1:2">
      <c r="A17" s="104" t="s">
        <v>200</v>
      </c>
      <c r="B17" s="105"/>
    </row>
    <row r="18" spans="1:2">
      <c r="A18" s="104" t="s">
        <v>201</v>
      </c>
      <c r="B18" s="105">
        <v>1</v>
      </c>
    </row>
    <row r="19" spans="1:2">
      <c r="A19" s="104" t="s">
        <v>193</v>
      </c>
      <c r="B19" s="105"/>
    </row>
    <row r="20" spans="1:2">
      <c r="A20" s="104" t="s">
        <v>196</v>
      </c>
      <c r="B20" s="105"/>
    </row>
    <row r="21" spans="1:2" ht="30">
      <c r="A21" s="176" t="s">
        <v>197</v>
      </c>
      <c r="B21" s="105"/>
    </row>
    <row r="22" spans="1:2">
      <c r="A22" s="104" t="s">
        <v>198</v>
      </c>
      <c r="B22" s="105"/>
    </row>
    <row r="23" spans="1:2">
      <c r="A23" s="99" t="s">
        <v>158</v>
      </c>
      <c r="B23" s="99"/>
    </row>
    <row r="25" spans="1:2">
      <c r="A25" s="101" t="s">
        <v>192</v>
      </c>
      <c r="B25" s="101" t="s">
        <v>167</v>
      </c>
    </row>
    <row r="26" spans="1:2">
      <c r="A26" s="104" t="s">
        <v>194</v>
      </c>
      <c r="B26" s="105"/>
    </row>
    <row r="27" spans="1:2">
      <c r="A27" s="104" t="s">
        <v>199</v>
      </c>
      <c r="B27" s="105"/>
    </row>
    <row r="28" spans="1:2">
      <c r="A28" s="104" t="s">
        <v>195</v>
      </c>
      <c r="B28" s="105"/>
    </row>
    <row r="29" spans="1:2">
      <c r="A29" s="104" t="s">
        <v>200</v>
      </c>
      <c r="B29" s="105">
        <v>1</v>
      </c>
    </row>
    <row r="30" spans="1:2">
      <c r="A30" s="104" t="s">
        <v>201</v>
      </c>
      <c r="B30" s="105">
        <v>2</v>
      </c>
    </row>
    <row r="31" spans="1:2">
      <c r="A31" s="104" t="s">
        <v>193</v>
      </c>
      <c r="B31" s="105"/>
    </row>
    <row r="32" spans="1:2">
      <c r="A32" s="104" t="s">
        <v>196</v>
      </c>
      <c r="B32" s="105"/>
    </row>
    <row r="33" spans="1:2" ht="30">
      <c r="A33" s="176" t="s">
        <v>197</v>
      </c>
      <c r="B33" s="105"/>
    </row>
    <row r="34" spans="1:2">
      <c r="A34" s="104" t="s">
        <v>198</v>
      </c>
      <c r="B34" s="105">
        <v>1</v>
      </c>
    </row>
    <row r="35" spans="1:2">
      <c r="A35" s="99" t="s">
        <v>158</v>
      </c>
      <c r="B35" s="99">
        <f>SUM(B26:B34)</f>
        <v>4</v>
      </c>
    </row>
    <row r="38" spans="1:2">
      <c r="A38" s="101" t="s">
        <v>192</v>
      </c>
      <c r="B38" s="101" t="s">
        <v>167</v>
      </c>
    </row>
    <row r="39" spans="1:2">
      <c r="A39" s="104" t="s">
        <v>194</v>
      </c>
      <c r="B39" s="105"/>
    </row>
    <row r="40" spans="1:2">
      <c r="A40" s="104" t="s">
        <v>199</v>
      </c>
      <c r="B40" s="105"/>
    </row>
    <row r="41" spans="1:2">
      <c r="A41" s="104" t="s">
        <v>195</v>
      </c>
      <c r="B41" s="105"/>
    </row>
    <row r="42" spans="1:2">
      <c r="A42" s="104" t="s">
        <v>200</v>
      </c>
      <c r="B42" s="105"/>
    </row>
    <row r="43" spans="1:2">
      <c r="A43" s="104" t="s">
        <v>201</v>
      </c>
      <c r="B43" s="105">
        <v>2</v>
      </c>
    </row>
    <row r="44" spans="1:2">
      <c r="A44" s="104" t="s">
        <v>193</v>
      </c>
      <c r="B44" s="105"/>
    </row>
    <row r="45" spans="1:2">
      <c r="A45" s="104" t="s">
        <v>196</v>
      </c>
      <c r="B45" s="105"/>
    </row>
    <row r="46" spans="1:2" ht="30">
      <c r="A46" s="176" t="s">
        <v>197</v>
      </c>
      <c r="B46" s="105"/>
    </row>
    <row r="47" spans="1:2">
      <c r="A47" s="104" t="s">
        <v>198</v>
      </c>
      <c r="B47" s="105"/>
    </row>
    <row r="48" spans="1:2">
      <c r="A48" s="99" t="s">
        <v>158</v>
      </c>
      <c r="B48" s="99"/>
    </row>
    <row r="51" spans="1:2">
      <c r="A51" s="101" t="s">
        <v>192</v>
      </c>
      <c r="B51" s="101" t="s">
        <v>167</v>
      </c>
    </row>
    <row r="52" spans="1:2">
      <c r="A52" s="104" t="s">
        <v>194</v>
      </c>
      <c r="B52" s="105"/>
    </row>
    <row r="53" spans="1:2">
      <c r="A53" s="104" t="s">
        <v>328</v>
      </c>
      <c r="B53" s="105">
        <v>1</v>
      </c>
    </row>
    <row r="54" spans="1:2">
      <c r="A54" s="104" t="s">
        <v>195</v>
      </c>
      <c r="B54" s="105"/>
    </row>
    <row r="55" spans="1:2">
      <c r="A55" s="104" t="s">
        <v>200</v>
      </c>
      <c r="B55" s="105"/>
    </row>
    <row r="56" spans="1:2">
      <c r="A56" s="104" t="s">
        <v>201</v>
      </c>
      <c r="B56" s="105"/>
    </row>
    <row r="57" spans="1:2">
      <c r="A57" s="104" t="s">
        <v>193</v>
      </c>
      <c r="B57" s="105"/>
    </row>
    <row r="58" spans="1:2">
      <c r="A58" s="104" t="s">
        <v>196</v>
      </c>
      <c r="B58" s="105"/>
    </row>
    <row r="59" spans="1:2" ht="30">
      <c r="A59" s="176" t="s">
        <v>197</v>
      </c>
      <c r="B59" s="105"/>
    </row>
    <row r="60" spans="1:2">
      <c r="A60" s="104" t="s">
        <v>198</v>
      </c>
      <c r="B60" s="105"/>
    </row>
    <row r="61" spans="1:2">
      <c r="A61" s="99" t="s">
        <v>158</v>
      </c>
      <c r="B61" s="99">
        <f>SUM(B52:B60)</f>
        <v>1</v>
      </c>
    </row>
    <row r="64" spans="1:2">
      <c r="A64" s="101" t="s">
        <v>192</v>
      </c>
      <c r="B64" s="101" t="s">
        <v>167</v>
      </c>
    </row>
    <row r="65" spans="1:2">
      <c r="A65" s="104" t="s">
        <v>194</v>
      </c>
      <c r="B65" s="105"/>
    </row>
    <row r="66" spans="1:2">
      <c r="A66" s="104" t="s">
        <v>331</v>
      </c>
      <c r="B66" s="105">
        <v>1</v>
      </c>
    </row>
    <row r="67" spans="1:2">
      <c r="A67" s="104" t="s">
        <v>195</v>
      </c>
      <c r="B67" s="105">
        <v>1</v>
      </c>
    </row>
    <row r="68" spans="1:2">
      <c r="A68" s="104" t="s">
        <v>200</v>
      </c>
      <c r="B68" s="105"/>
    </row>
    <row r="69" spans="1:2">
      <c r="A69" s="104" t="s">
        <v>201</v>
      </c>
      <c r="B69" s="105">
        <v>2</v>
      </c>
    </row>
    <row r="70" spans="1:2">
      <c r="A70" s="104" t="s">
        <v>193</v>
      </c>
      <c r="B70" s="105"/>
    </row>
    <row r="71" spans="1:2">
      <c r="A71" s="104" t="s">
        <v>196</v>
      </c>
      <c r="B71" s="105"/>
    </row>
    <row r="72" spans="1:2" ht="30">
      <c r="A72" s="176" t="s">
        <v>197</v>
      </c>
      <c r="B72" s="105"/>
    </row>
    <row r="73" spans="1:2">
      <c r="A73" s="104" t="s">
        <v>198</v>
      </c>
      <c r="B73" s="105"/>
    </row>
    <row r="74" spans="1:2">
      <c r="A74" s="99" t="s">
        <v>158</v>
      </c>
      <c r="B74" s="99">
        <f>SUM(B65:B73)</f>
        <v>4</v>
      </c>
    </row>
    <row r="77" spans="1:2">
      <c r="A77" s="101" t="s">
        <v>192</v>
      </c>
      <c r="B77" s="101" t="s">
        <v>167</v>
      </c>
    </row>
    <row r="78" spans="1:2">
      <c r="A78" s="104" t="s">
        <v>194</v>
      </c>
      <c r="B78" s="105"/>
    </row>
    <row r="79" spans="1:2">
      <c r="A79" s="104" t="s">
        <v>199</v>
      </c>
      <c r="B79" s="105"/>
    </row>
    <row r="80" spans="1:2">
      <c r="A80" s="104" t="s">
        <v>195</v>
      </c>
      <c r="B80" s="105"/>
    </row>
    <row r="81" spans="1:2">
      <c r="A81" s="104" t="s">
        <v>200</v>
      </c>
      <c r="B81" s="105">
        <v>3</v>
      </c>
    </row>
    <row r="82" spans="1:2">
      <c r="A82" s="104" t="s">
        <v>201</v>
      </c>
      <c r="B82" s="105"/>
    </row>
    <row r="83" spans="1:2">
      <c r="A83" s="104" t="s">
        <v>193</v>
      </c>
      <c r="B83" s="105"/>
    </row>
    <row r="84" spans="1:2">
      <c r="A84" s="104" t="s">
        <v>196</v>
      </c>
      <c r="B84" s="105"/>
    </row>
    <row r="85" spans="1:2" ht="30">
      <c r="A85" s="176" t="s">
        <v>197</v>
      </c>
      <c r="B85" s="105"/>
    </row>
    <row r="86" spans="1:2">
      <c r="A86" s="104" t="s">
        <v>198</v>
      </c>
      <c r="B86" s="105"/>
    </row>
    <row r="87" spans="1:2">
      <c r="A87" s="99" t="s">
        <v>158</v>
      </c>
      <c r="B87" s="99">
        <f>SUM(B78:B86)</f>
        <v>3</v>
      </c>
    </row>
    <row r="90" spans="1:2">
      <c r="A90" s="101" t="s">
        <v>192</v>
      </c>
      <c r="B90" s="101" t="s">
        <v>167</v>
      </c>
    </row>
    <row r="91" spans="1:2">
      <c r="A91" s="104" t="s">
        <v>194</v>
      </c>
      <c r="B91" s="105"/>
    </row>
    <row r="92" spans="1:2">
      <c r="A92" s="104" t="s">
        <v>199</v>
      </c>
      <c r="B92" s="105"/>
    </row>
    <row r="93" spans="1:2">
      <c r="A93" s="104" t="s">
        <v>195</v>
      </c>
      <c r="B93" s="105"/>
    </row>
    <row r="94" spans="1:2">
      <c r="A94" s="104" t="s">
        <v>200</v>
      </c>
      <c r="B94" s="105">
        <v>2</v>
      </c>
    </row>
    <row r="95" spans="1:2">
      <c r="A95" s="104" t="s">
        <v>201</v>
      </c>
      <c r="B95" s="105">
        <v>1</v>
      </c>
    </row>
    <row r="96" spans="1:2">
      <c r="A96" s="104" t="s">
        <v>193</v>
      </c>
      <c r="B96" s="105"/>
    </row>
    <row r="97" spans="1:2">
      <c r="A97" s="104" t="s">
        <v>196</v>
      </c>
      <c r="B97" s="105"/>
    </row>
    <row r="98" spans="1:2" ht="30">
      <c r="A98" s="176" t="s">
        <v>197</v>
      </c>
      <c r="B98" s="105"/>
    </row>
    <row r="99" spans="1:2">
      <c r="A99" s="104" t="s">
        <v>198</v>
      </c>
      <c r="B99" s="105"/>
    </row>
    <row r="100" spans="1:2">
      <c r="A100" s="99" t="s">
        <v>158</v>
      </c>
      <c r="B100" s="99">
        <f>SUM(B91:B99)</f>
        <v>3</v>
      </c>
    </row>
    <row r="103" spans="1:2">
      <c r="A103" s="101" t="s">
        <v>192</v>
      </c>
      <c r="B103" s="101" t="s">
        <v>167</v>
      </c>
    </row>
    <row r="104" spans="1:2">
      <c r="A104" s="104" t="s">
        <v>194</v>
      </c>
      <c r="B104" s="105"/>
    </row>
    <row r="105" spans="1:2">
      <c r="A105" s="104" t="s">
        <v>199</v>
      </c>
      <c r="B105" s="105"/>
    </row>
    <row r="106" spans="1:2">
      <c r="A106" s="104" t="s">
        <v>195</v>
      </c>
      <c r="B106" s="105"/>
    </row>
    <row r="107" spans="1:2">
      <c r="A107" s="104" t="s">
        <v>200</v>
      </c>
      <c r="B107" s="105">
        <v>3</v>
      </c>
    </row>
    <row r="108" spans="1:2">
      <c r="A108" s="104" t="s">
        <v>201</v>
      </c>
      <c r="B108" s="105">
        <v>1</v>
      </c>
    </row>
    <row r="109" spans="1:2">
      <c r="A109" s="104" t="s">
        <v>193</v>
      </c>
      <c r="B109" s="105">
        <v>1</v>
      </c>
    </row>
    <row r="110" spans="1:2">
      <c r="A110" s="104" t="s">
        <v>196</v>
      </c>
      <c r="B110" s="105"/>
    </row>
    <row r="111" spans="1:2" ht="30">
      <c r="A111" s="176" t="s">
        <v>197</v>
      </c>
      <c r="B111" s="105"/>
    </row>
    <row r="112" spans="1:2">
      <c r="A112" s="104" t="s">
        <v>198</v>
      </c>
      <c r="B112" s="105"/>
    </row>
    <row r="113" spans="1:2">
      <c r="A113" s="99" t="s">
        <v>158</v>
      </c>
      <c r="B113" s="99">
        <f>SUM(B104:B112)</f>
        <v>5</v>
      </c>
    </row>
  </sheetData>
  <sortState xmlns:xlrd2="http://schemas.microsoft.com/office/spreadsheetml/2017/richdata2" ref="A4:B6">
    <sortCondition ref="A4:A6"/>
  </sortState>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J90"/>
  <sheetViews>
    <sheetView zoomScale="80" zoomScaleNormal="80" workbookViewId="0">
      <selection activeCell="B56" sqref="B56"/>
    </sheetView>
  </sheetViews>
  <sheetFormatPr baseColWidth="10" defaultRowHeight="15"/>
  <cols>
    <col min="1" max="1" width="32.42578125" customWidth="1"/>
    <col min="2" max="2" width="15.140625" customWidth="1"/>
    <col min="9" max="9" width="47.28515625" customWidth="1"/>
  </cols>
  <sheetData>
    <row r="1" spans="1:10">
      <c r="A1" s="173" t="s">
        <v>206</v>
      </c>
      <c r="B1" s="173" t="s">
        <v>167</v>
      </c>
      <c r="I1" s="173" t="s">
        <v>206</v>
      </c>
      <c r="J1" s="173" t="s">
        <v>167</v>
      </c>
    </row>
    <row r="2" spans="1:10">
      <c r="A2" s="104" t="s">
        <v>202</v>
      </c>
      <c r="B2" s="105"/>
      <c r="I2" s="104" t="s">
        <v>202</v>
      </c>
      <c r="J2" s="105"/>
    </row>
    <row r="3" spans="1:10">
      <c r="A3" s="104" t="s">
        <v>266</v>
      </c>
      <c r="B3" s="105"/>
      <c r="I3" s="104" t="s">
        <v>266</v>
      </c>
      <c r="J3" s="105"/>
    </row>
    <row r="4" spans="1:10">
      <c r="A4" s="104" t="s">
        <v>295</v>
      </c>
      <c r="B4" s="105">
        <v>1</v>
      </c>
      <c r="I4" s="104" t="s">
        <v>295</v>
      </c>
      <c r="J4" s="105">
        <v>1</v>
      </c>
    </row>
    <row r="5" spans="1:10">
      <c r="A5" s="104" t="s">
        <v>203</v>
      </c>
      <c r="B5" s="105"/>
      <c r="I5" s="104" t="s">
        <v>203</v>
      </c>
      <c r="J5" s="105"/>
    </row>
    <row r="6" spans="1:10">
      <c r="A6" s="104" t="s">
        <v>204</v>
      </c>
      <c r="B6" s="105"/>
      <c r="I6" s="104" t="s">
        <v>204</v>
      </c>
      <c r="J6" s="105"/>
    </row>
    <row r="7" spans="1:10">
      <c r="A7" s="104" t="s">
        <v>271</v>
      </c>
      <c r="B7" s="105"/>
      <c r="I7" s="104" t="s">
        <v>271</v>
      </c>
      <c r="J7" s="105"/>
    </row>
    <row r="8" spans="1:10">
      <c r="A8" s="105" t="s">
        <v>158</v>
      </c>
      <c r="B8" s="99"/>
      <c r="I8" s="105" t="s">
        <v>158</v>
      </c>
      <c r="J8" s="99"/>
    </row>
    <row r="10" spans="1:10">
      <c r="A10" s="173" t="s">
        <v>206</v>
      </c>
      <c r="B10" s="173" t="s">
        <v>167</v>
      </c>
    </row>
    <row r="11" spans="1:10">
      <c r="A11" s="104" t="s">
        <v>272</v>
      </c>
      <c r="B11" s="105"/>
    </row>
    <row r="12" spans="1:10">
      <c r="A12" s="104" t="s">
        <v>266</v>
      </c>
      <c r="B12" s="105"/>
    </row>
    <row r="13" spans="1:10">
      <c r="A13" s="104" t="s">
        <v>324</v>
      </c>
      <c r="B13" s="105">
        <v>1</v>
      </c>
    </row>
    <row r="14" spans="1:10">
      <c r="A14" s="104" t="s">
        <v>203</v>
      </c>
      <c r="B14" s="105"/>
    </row>
    <row r="15" spans="1:10">
      <c r="A15" s="104" t="s">
        <v>204</v>
      </c>
      <c r="B15" s="105"/>
    </row>
    <row r="16" spans="1:10">
      <c r="A16" s="104" t="s">
        <v>271</v>
      </c>
      <c r="B16" s="105"/>
    </row>
    <row r="17" spans="1:2">
      <c r="A17" s="105" t="s">
        <v>158</v>
      </c>
      <c r="B17" s="99"/>
    </row>
    <row r="19" spans="1:2">
      <c r="A19" s="173" t="s">
        <v>206</v>
      </c>
      <c r="B19" s="173" t="s">
        <v>167</v>
      </c>
    </row>
    <row r="20" spans="1:2">
      <c r="A20" s="104" t="s">
        <v>272</v>
      </c>
      <c r="B20" s="105">
        <v>1</v>
      </c>
    </row>
    <row r="21" spans="1:2">
      <c r="A21" s="104" t="s">
        <v>278</v>
      </c>
      <c r="B21" s="105">
        <v>2</v>
      </c>
    </row>
    <row r="22" spans="1:2">
      <c r="A22" s="104" t="s">
        <v>205</v>
      </c>
      <c r="B22" s="105">
        <v>1</v>
      </c>
    </row>
    <row r="23" spans="1:2">
      <c r="A23" s="104" t="s">
        <v>203</v>
      </c>
      <c r="B23" s="105"/>
    </row>
    <row r="24" spans="1:2">
      <c r="A24" s="104" t="s">
        <v>204</v>
      </c>
      <c r="B24" s="105"/>
    </row>
    <row r="25" spans="1:2">
      <c r="A25" s="104" t="s">
        <v>271</v>
      </c>
      <c r="B25" s="105"/>
    </row>
    <row r="26" spans="1:2">
      <c r="A26" s="105" t="s">
        <v>158</v>
      </c>
      <c r="B26" s="99">
        <f>SUM(B20:B25)</f>
        <v>4</v>
      </c>
    </row>
    <row r="29" spans="1:2">
      <c r="A29" s="173" t="s">
        <v>206</v>
      </c>
      <c r="B29" s="173" t="s">
        <v>167</v>
      </c>
    </row>
    <row r="30" spans="1:2">
      <c r="A30" s="104" t="s">
        <v>272</v>
      </c>
      <c r="B30" s="105">
        <v>1</v>
      </c>
    </row>
    <row r="31" spans="1:2">
      <c r="A31" s="104" t="s">
        <v>278</v>
      </c>
      <c r="B31" s="105"/>
    </row>
    <row r="32" spans="1:2">
      <c r="A32" s="104" t="s">
        <v>205</v>
      </c>
      <c r="B32" s="105">
        <v>1</v>
      </c>
    </row>
    <row r="33" spans="1:2">
      <c r="A33" s="104" t="s">
        <v>203</v>
      </c>
      <c r="B33" s="105"/>
    </row>
    <row r="34" spans="1:2">
      <c r="A34" s="104" t="s">
        <v>204</v>
      </c>
      <c r="B34" s="105"/>
    </row>
    <row r="35" spans="1:2">
      <c r="A35" s="104" t="s">
        <v>271</v>
      </c>
      <c r="B35" s="105"/>
    </row>
    <row r="36" spans="1:2">
      <c r="A36" s="105" t="s">
        <v>158</v>
      </c>
      <c r="B36" s="99"/>
    </row>
    <row r="39" spans="1:2">
      <c r="A39" s="173" t="s">
        <v>206</v>
      </c>
      <c r="B39" s="173" t="s">
        <v>167</v>
      </c>
    </row>
    <row r="40" spans="1:2">
      <c r="A40" s="104" t="s">
        <v>272</v>
      </c>
      <c r="B40" s="105"/>
    </row>
    <row r="41" spans="1:2">
      <c r="A41" s="104" t="s">
        <v>278</v>
      </c>
      <c r="B41" s="105"/>
    </row>
    <row r="42" spans="1:2">
      <c r="A42" s="104" t="s">
        <v>205</v>
      </c>
      <c r="B42" s="105">
        <v>1</v>
      </c>
    </row>
    <row r="43" spans="1:2">
      <c r="A43" s="104" t="s">
        <v>203</v>
      </c>
      <c r="B43" s="105"/>
    </row>
    <row r="44" spans="1:2">
      <c r="A44" s="104" t="s">
        <v>204</v>
      </c>
      <c r="B44" s="105"/>
    </row>
    <row r="45" spans="1:2">
      <c r="A45" s="104" t="s">
        <v>271</v>
      </c>
      <c r="B45" s="105"/>
    </row>
    <row r="46" spans="1:2">
      <c r="A46" s="105" t="s">
        <v>158</v>
      </c>
      <c r="B46" s="99">
        <f>SUM(B40:B45)</f>
        <v>1</v>
      </c>
    </row>
    <row r="49" spans="1:2">
      <c r="A49" s="173" t="s">
        <v>206</v>
      </c>
      <c r="B49" s="173" t="s">
        <v>167</v>
      </c>
    </row>
    <row r="50" spans="1:2">
      <c r="A50" s="104" t="s">
        <v>272</v>
      </c>
      <c r="B50" s="105"/>
    </row>
    <row r="51" spans="1:2">
      <c r="A51" s="104" t="s">
        <v>278</v>
      </c>
      <c r="B51" s="105"/>
    </row>
    <row r="52" spans="1:2">
      <c r="A52" s="104" t="s">
        <v>283</v>
      </c>
      <c r="B52" s="105"/>
    </row>
    <row r="53" spans="1:2">
      <c r="A53" s="104" t="s">
        <v>282</v>
      </c>
      <c r="B53" s="105">
        <v>2</v>
      </c>
    </row>
    <row r="54" spans="1:2">
      <c r="A54" s="104" t="s">
        <v>203</v>
      </c>
      <c r="B54" s="105"/>
    </row>
    <row r="55" spans="1:2">
      <c r="A55" s="104" t="s">
        <v>204</v>
      </c>
      <c r="B55" s="105"/>
    </row>
    <row r="56" spans="1:2">
      <c r="A56" s="104" t="s">
        <v>271</v>
      </c>
      <c r="B56" s="105"/>
    </row>
    <row r="57" spans="1:2">
      <c r="A57" s="105" t="s">
        <v>158</v>
      </c>
      <c r="B57" s="99">
        <f>SUM(B50:B56)</f>
        <v>2</v>
      </c>
    </row>
    <row r="60" spans="1:2">
      <c r="A60" s="173" t="s">
        <v>206</v>
      </c>
      <c r="B60" s="173" t="s">
        <v>167</v>
      </c>
    </row>
    <row r="61" spans="1:2">
      <c r="A61" s="104" t="s">
        <v>272</v>
      </c>
      <c r="B61" s="105"/>
    </row>
    <row r="62" spans="1:2">
      <c r="A62" s="104" t="s">
        <v>278</v>
      </c>
      <c r="B62" s="105"/>
    </row>
    <row r="63" spans="1:2">
      <c r="A63" s="104" t="s">
        <v>283</v>
      </c>
      <c r="B63" s="105"/>
    </row>
    <row r="64" spans="1:2">
      <c r="A64" s="104" t="s">
        <v>282</v>
      </c>
      <c r="B64" s="105">
        <v>3</v>
      </c>
    </row>
    <row r="65" spans="1:2">
      <c r="A65" s="104" t="s">
        <v>203</v>
      </c>
      <c r="B65" s="105"/>
    </row>
    <row r="66" spans="1:2">
      <c r="A66" s="104" t="s">
        <v>204</v>
      </c>
      <c r="B66" s="105"/>
    </row>
    <row r="67" spans="1:2">
      <c r="A67" s="104" t="s">
        <v>271</v>
      </c>
      <c r="B67" s="105"/>
    </row>
    <row r="68" spans="1:2">
      <c r="A68" s="105" t="s">
        <v>158</v>
      </c>
      <c r="B68" s="99">
        <f>SUM(B61:B67)</f>
        <v>3</v>
      </c>
    </row>
    <row r="71" spans="1:2">
      <c r="A71" s="173" t="s">
        <v>206</v>
      </c>
      <c r="B71" s="173" t="s">
        <v>167</v>
      </c>
    </row>
    <row r="72" spans="1:2">
      <c r="A72" s="104" t="s">
        <v>272</v>
      </c>
      <c r="B72" s="105"/>
    </row>
    <row r="73" spans="1:2">
      <c r="A73" s="104" t="s">
        <v>278</v>
      </c>
      <c r="B73" s="105">
        <v>2</v>
      </c>
    </row>
    <row r="74" spans="1:2">
      <c r="A74" s="104" t="s">
        <v>283</v>
      </c>
      <c r="B74" s="105"/>
    </row>
    <row r="75" spans="1:2">
      <c r="A75" s="104" t="s">
        <v>282</v>
      </c>
      <c r="B75" s="105">
        <v>1</v>
      </c>
    </row>
    <row r="76" spans="1:2">
      <c r="A76" s="104" t="s">
        <v>203</v>
      </c>
      <c r="B76" s="105"/>
    </row>
    <row r="77" spans="1:2">
      <c r="A77" s="104" t="s">
        <v>204</v>
      </c>
      <c r="B77" s="105"/>
    </row>
    <row r="78" spans="1:2">
      <c r="A78" s="104" t="s">
        <v>271</v>
      </c>
      <c r="B78" s="105"/>
    </row>
    <row r="79" spans="1:2">
      <c r="A79" s="105" t="s">
        <v>158</v>
      </c>
      <c r="B79" s="99">
        <f>SUM(B72:B78)</f>
        <v>3</v>
      </c>
    </row>
    <row r="82" spans="1:2">
      <c r="A82" s="173" t="s">
        <v>206</v>
      </c>
      <c r="B82" s="173" t="s">
        <v>167</v>
      </c>
    </row>
    <row r="83" spans="1:2">
      <c r="A83" s="104" t="s">
        <v>272</v>
      </c>
      <c r="B83" s="105"/>
    </row>
    <row r="84" spans="1:2">
      <c r="A84" s="104" t="s">
        <v>278</v>
      </c>
      <c r="B84" s="105"/>
    </row>
    <row r="85" spans="1:2">
      <c r="A85" s="104" t="s">
        <v>283</v>
      </c>
      <c r="B85" s="105">
        <v>2</v>
      </c>
    </row>
    <row r="86" spans="1:2">
      <c r="A86" s="104" t="s">
        <v>282</v>
      </c>
      <c r="B86" s="105">
        <v>3</v>
      </c>
    </row>
    <row r="87" spans="1:2">
      <c r="A87" s="104" t="s">
        <v>203</v>
      </c>
      <c r="B87" s="105"/>
    </row>
    <row r="88" spans="1:2">
      <c r="A88" s="104" t="s">
        <v>204</v>
      </c>
      <c r="B88" s="105"/>
    </row>
    <row r="89" spans="1:2">
      <c r="A89" s="104" t="s">
        <v>271</v>
      </c>
      <c r="B89" s="105"/>
    </row>
    <row r="90" spans="1:2">
      <c r="A90" s="105" t="s">
        <v>158</v>
      </c>
      <c r="B90" s="99">
        <f>SUM(B83:B89)</f>
        <v>5</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1:AG35"/>
  <sheetViews>
    <sheetView topLeftCell="A40" zoomScaleNormal="100" workbookViewId="0">
      <selection activeCell="I17" sqref="I17"/>
    </sheetView>
  </sheetViews>
  <sheetFormatPr baseColWidth="10" defaultColWidth="11.42578125" defaultRowHeight="12"/>
  <cols>
    <col min="1" max="1" width="4.140625" style="1" customWidth="1"/>
    <col min="2" max="2" width="18.85546875" style="1" customWidth="1"/>
    <col min="3" max="3" width="10.85546875" style="1" bestFit="1" customWidth="1"/>
    <col min="4" max="12" width="9.140625" style="1" customWidth="1"/>
    <col min="13" max="13" width="10.5703125" style="1" customWidth="1"/>
    <col min="14" max="15" width="9.140625" style="1" customWidth="1"/>
    <col min="16" max="16" width="3" style="1" customWidth="1"/>
    <col min="17" max="258" width="11.42578125" style="1"/>
    <col min="259" max="259" width="13.5703125" style="1" bestFit="1" customWidth="1"/>
    <col min="260" max="262" width="11.5703125" style="1" bestFit="1" customWidth="1"/>
    <col min="263" max="263" width="7.42578125" style="1" bestFit="1" customWidth="1"/>
    <col min="264" max="264" width="8.42578125" style="1" customWidth="1"/>
    <col min="265" max="265" width="11.85546875" style="1" bestFit="1" customWidth="1"/>
    <col min="266" max="271" width="8" style="1" bestFit="1" customWidth="1"/>
    <col min="272" max="272" width="3" style="1" customWidth="1"/>
    <col min="273" max="514" width="11.42578125" style="1"/>
    <col min="515" max="515" width="13.5703125" style="1" bestFit="1" customWidth="1"/>
    <col min="516" max="518" width="11.5703125" style="1" bestFit="1" customWidth="1"/>
    <col min="519" max="519" width="7.42578125" style="1" bestFit="1" customWidth="1"/>
    <col min="520" max="520" width="8.42578125" style="1" customWidth="1"/>
    <col min="521" max="521" width="11.85546875" style="1" bestFit="1" customWidth="1"/>
    <col min="522" max="527" width="8" style="1" bestFit="1" customWidth="1"/>
    <col min="528" max="528" width="3" style="1" customWidth="1"/>
    <col min="529" max="770" width="11.42578125" style="1"/>
    <col min="771" max="771" width="13.5703125" style="1" bestFit="1" customWidth="1"/>
    <col min="772" max="774" width="11.5703125" style="1" bestFit="1" customWidth="1"/>
    <col min="775" max="775" width="7.42578125" style="1" bestFit="1" customWidth="1"/>
    <col min="776" max="776" width="8.42578125" style="1" customWidth="1"/>
    <col min="777" max="777" width="11.85546875" style="1" bestFit="1" customWidth="1"/>
    <col min="778" max="783" width="8" style="1" bestFit="1" customWidth="1"/>
    <col min="784" max="784" width="3" style="1" customWidth="1"/>
    <col min="785" max="1026" width="11.42578125" style="1"/>
    <col min="1027" max="1027" width="13.5703125" style="1" bestFit="1" customWidth="1"/>
    <col min="1028" max="1030" width="11.5703125" style="1" bestFit="1" customWidth="1"/>
    <col min="1031" max="1031" width="7.42578125" style="1" bestFit="1" customWidth="1"/>
    <col min="1032" max="1032" width="8.42578125" style="1" customWidth="1"/>
    <col min="1033" max="1033" width="11.85546875" style="1" bestFit="1" customWidth="1"/>
    <col min="1034" max="1039" width="8" style="1" bestFit="1" customWidth="1"/>
    <col min="1040" max="1040" width="3" style="1" customWidth="1"/>
    <col min="1041" max="1282" width="11.42578125" style="1"/>
    <col min="1283" max="1283" width="13.5703125" style="1" bestFit="1" customWidth="1"/>
    <col min="1284" max="1286" width="11.5703125" style="1" bestFit="1" customWidth="1"/>
    <col min="1287" max="1287" width="7.42578125" style="1" bestFit="1" customWidth="1"/>
    <col min="1288" max="1288" width="8.42578125" style="1" customWidth="1"/>
    <col min="1289" max="1289" width="11.85546875" style="1" bestFit="1" customWidth="1"/>
    <col min="1290" max="1295" width="8" style="1" bestFit="1" customWidth="1"/>
    <col min="1296" max="1296" width="3" style="1" customWidth="1"/>
    <col min="1297" max="1538" width="11.42578125" style="1"/>
    <col min="1539" max="1539" width="13.5703125" style="1" bestFit="1" customWidth="1"/>
    <col min="1540" max="1542" width="11.5703125" style="1" bestFit="1" customWidth="1"/>
    <col min="1543" max="1543" width="7.42578125" style="1" bestFit="1" customWidth="1"/>
    <col min="1544" max="1544" width="8.42578125" style="1" customWidth="1"/>
    <col min="1545" max="1545" width="11.85546875" style="1" bestFit="1" customWidth="1"/>
    <col min="1546" max="1551" width="8" style="1" bestFit="1" customWidth="1"/>
    <col min="1552" max="1552" width="3" style="1" customWidth="1"/>
    <col min="1553" max="1794" width="11.42578125" style="1"/>
    <col min="1795" max="1795" width="13.5703125" style="1" bestFit="1" customWidth="1"/>
    <col min="1796" max="1798" width="11.5703125" style="1" bestFit="1" customWidth="1"/>
    <col min="1799" max="1799" width="7.42578125" style="1" bestFit="1" customWidth="1"/>
    <col min="1800" max="1800" width="8.42578125" style="1" customWidth="1"/>
    <col min="1801" max="1801" width="11.85546875" style="1" bestFit="1" customWidth="1"/>
    <col min="1802" max="1807" width="8" style="1" bestFit="1" customWidth="1"/>
    <col min="1808" max="1808" width="3" style="1" customWidth="1"/>
    <col min="1809" max="2050" width="11.42578125" style="1"/>
    <col min="2051" max="2051" width="13.5703125" style="1" bestFit="1" customWidth="1"/>
    <col min="2052" max="2054" width="11.5703125" style="1" bestFit="1" customWidth="1"/>
    <col min="2055" max="2055" width="7.42578125" style="1" bestFit="1" customWidth="1"/>
    <col min="2056" max="2056" width="8.42578125" style="1" customWidth="1"/>
    <col min="2057" max="2057" width="11.85546875" style="1" bestFit="1" customWidth="1"/>
    <col min="2058" max="2063" width="8" style="1" bestFit="1" customWidth="1"/>
    <col min="2064" max="2064" width="3" style="1" customWidth="1"/>
    <col min="2065" max="2306" width="11.42578125" style="1"/>
    <col min="2307" max="2307" width="13.5703125" style="1" bestFit="1" customWidth="1"/>
    <col min="2308" max="2310" width="11.5703125" style="1" bestFit="1" customWidth="1"/>
    <col min="2311" max="2311" width="7.42578125" style="1" bestFit="1" customWidth="1"/>
    <col min="2312" max="2312" width="8.42578125" style="1" customWidth="1"/>
    <col min="2313" max="2313" width="11.85546875" style="1" bestFit="1" customWidth="1"/>
    <col min="2314" max="2319" width="8" style="1" bestFit="1" customWidth="1"/>
    <col min="2320" max="2320" width="3" style="1" customWidth="1"/>
    <col min="2321" max="2562" width="11.42578125" style="1"/>
    <col min="2563" max="2563" width="13.5703125" style="1" bestFit="1" customWidth="1"/>
    <col min="2564" max="2566" width="11.5703125" style="1" bestFit="1" customWidth="1"/>
    <col min="2567" max="2567" width="7.42578125" style="1" bestFit="1" customWidth="1"/>
    <col min="2568" max="2568" width="8.42578125" style="1" customWidth="1"/>
    <col min="2569" max="2569" width="11.85546875" style="1" bestFit="1" customWidth="1"/>
    <col min="2570" max="2575" width="8" style="1" bestFit="1" customWidth="1"/>
    <col min="2576" max="2576" width="3" style="1" customWidth="1"/>
    <col min="2577" max="2818" width="11.42578125" style="1"/>
    <col min="2819" max="2819" width="13.5703125" style="1" bestFit="1" customWidth="1"/>
    <col min="2820" max="2822" width="11.5703125" style="1" bestFit="1" customWidth="1"/>
    <col min="2823" max="2823" width="7.42578125" style="1" bestFit="1" customWidth="1"/>
    <col min="2824" max="2824" width="8.42578125" style="1" customWidth="1"/>
    <col min="2825" max="2825" width="11.85546875" style="1" bestFit="1" customWidth="1"/>
    <col min="2826" max="2831" width="8" style="1" bestFit="1" customWidth="1"/>
    <col min="2832" max="2832" width="3" style="1" customWidth="1"/>
    <col min="2833" max="3074" width="11.42578125" style="1"/>
    <col min="3075" max="3075" width="13.5703125" style="1" bestFit="1" customWidth="1"/>
    <col min="3076" max="3078" width="11.5703125" style="1" bestFit="1" customWidth="1"/>
    <col min="3079" max="3079" width="7.42578125" style="1" bestFit="1" customWidth="1"/>
    <col min="3080" max="3080" width="8.42578125" style="1" customWidth="1"/>
    <col min="3081" max="3081" width="11.85546875" style="1" bestFit="1" customWidth="1"/>
    <col min="3082" max="3087" width="8" style="1" bestFit="1" customWidth="1"/>
    <col min="3088" max="3088" width="3" style="1" customWidth="1"/>
    <col min="3089" max="3330" width="11.42578125" style="1"/>
    <col min="3331" max="3331" width="13.5703125" style="1" bestFit="1" customWidth="1"/>
    <col min="3332" max="3334" width="11.5703125" style="1" bestFit="1" customWidth="1"/>
    <col min="3335" max="3335" width="7.42578125" style="1" bestFit="1" customWidth="1"/>
    <col min="3336" max="3336" width="8.42578125" style="1" customWidth="1"/>
    <col min="3337" max="3337" width="11.85546875" style="1" bestFit="1" customWidth="1"/>
    <col min="3338" max="3343" width="8" style="1" bestFit="1" customWidth="1"/>
    <col min="3344" max="3344" width="3" style="1" customWidth="1"/>
    <col min="3345" max="3586" width="11.42578125" style="1"/>
    <col min="3587" max="3587" width="13.5703125" style="1" bestFit="1" customWidth="1"/>
    <col min="3588" max="3590" width="11.5703125" style="1" bestFit="1" customWidth="1"/>
    <col min="3591" max="3591" width="7.42578125" style="1" bestFit="1" customWidth="1"/>
    <col min="3592" max="3592" width="8.42578125" style="1" customWidth="1"/>
    <col min="3593" max="3593" width="11.85546875" style="1" bestFit="1" customWidth="1"/>
    <col min="3594" max="3599" width="8" style="1" bestFit="1" customWidth="1"/>
    <col min="3600" max="3600" width="3" style="1" customWidth="1"/>
    <col min="3601" max="3842" width="11.42578125" style="1"/>
    <col min="3843" max="3843" width="13.5703125" style="1" bestFit="1" customWidth="1"/>
    <col min="3844" max="3846" width="11.5703125" style="1" bestFit="1" customWidth="1"/>
    <col min="3847" max="3847" width="7.42578125" style="1" bestFit="1" customWidth="1"/>
    <col min="3848" max="3848" width="8.42578125" style="1" customWidth="1"/>
    <col min="3849" max="3849" width="11.85546875" style="1" bestFit="1" customWidth="1"/>
    <col min="3850" max="3855" width="8" style="1" bestFit="1" customWidth="1"/>
    <col min="3856" max="3856" width="3" style="1" customWidth="1"/>
    <col min="3857" max="4098" width="11.42578125" style="1"/>
    <col min="4099" max="4099" width="13.5703125" style="1" bestFit="1" customWidth="1"/>
    <col min="4100" max="4102" width="11.5703125" style="1" bestFit="1" customWidth="1"/>
    <col min="4103" max="4103" width="7.42578125" style="1" bestFit="1" customWidth="1"/>
    <col min="4104" max="4104" width="8.42578125" style="1" customWidth="1"/>
    <col min="4105" max="4105" width="11.85546875" style="1" bestFit="1" customWidth="1"/>
    <col min="4106" max="4111" width="8" style="1" bestFit="1" customWidth="1"/>
    <col min="4112" max="4112" width="3" style="1" customWidth="1"/>
    <col min="4113" max="4354" width="11.42578125" style="1"/>
    <col min="4355" max="4355" width="13.5703125" style="1" bestFit="1" customWidth="1"/>
    <col min="4356" max="4358" width="11.5703125" style="1" bestFit="1" customWidth="1"/>
    <col min="4359" max="4359" width="7.42578125" style="1" bestFit="1" customWidth="1"/>
    <col min="4360" max="4360" width="8.42578125" style="1" customWidth="1"/>
    <col min="4361" max="4361" width="11.85546875" style="1" bestFit="1" customWidth="1"/>
    <col min="4362" max="4367" width="8" style="1" bestFit="1" customWidth="1"/>
    <col min="4368" max="4368" width="3" style="1" customWidth="1"/>
    <col min="4369" max="4610" width="11.42578125" style="1"/>
    <col min="4611" max="4611" width="13.5703125" style="1" bestFit="1" customWidth="1"/>
    <col min="4612" max="4614" width="11.5703125" style="1" bestFit="1" customWidth="1"/>
    <col min="4615" max="4615" width="7.42578125" style="1" bestFit="1" customWidth="1"/>
    <col min="4616" max="4616" width="8.42578125" style="1" customWidth="1"/>
    <col min="4617" max="4617" width="11.85546875" style="1" bestFit="1" customWidth="1"/>
    <col min="4618" max="4623" width="8" style="1" bestFit="1" customWidth="1"/>
    <col min="4624" max="4624" width="3" style="1" customWidth="1"/>
    <col min="4625" max="4866" width="11.42578125" style="1"/>
    <col min="4867" max="4867" width="13.5703125" style="1" bestFit="1" customWidth="1"/>
    <col min="4868" max="4870" width="11.5703125" style="1" bestFit="1" customWidth="1"/>
    <col min="4871" max="4871" width="7.42578125" style="1" bestFit="1" customWidth="1"/>
    <col min="4872" max="4872" width="8.42578125" style="1" customWidth="1"/>
    <col min="4873" max="4873" width="11.85546875" style="1" bestFit="1" customWidth="1"/>
    <col min="4874" max="4879" width="8" style="1" bestFit="1" customWidth="1"/>
    <col min="4880" max="4880" width="3" style="1" customWidth="1"/>
    <col min="4881" max="5122" width="11.42578125" style="1"/>
    <col min="5123" max="5123" width="13.5703125" style="1" bestFit="1" customWidth="1"/>
    <col min="5124" max="5126" width="11.5703125" style="1" bestFit="1" customWidth="1"/>
    <col min="5127" max="5127" width="7.42578125" style="1" bestFit="1" customWidth="1"/>
    <col min="5128" max="5128" width="8.42578125" style="1" customWidth="1"/>
    <col min="5129" max="5129" width="11.85546875" style="1" bestFit="1" customWidth="1"/>
    <col min="5130" max="5135" width="8" style="1" bestFit="1" customWidth="1"/>
    <col min="5136" max="5136" width="3" style="1" customWidth="1"/>
    <col min="5137" max="5378" width="11.42578125" style="1"/>
    <col min="5379" max="5379" width="13.5703125" style="1" bestFit="1" customWidth="1"/>
    <col min="5380" max="5382" width="11.5703125" style="1" bestFit="1" customWidth="1"/>
    <col min="5383" max="5383" width="7.42578125" style="1" bestFit="1" customWidth="1"/>
    <col min="5384" max="5384" width="8.42578125" style="1" customWidth="1"/>
    <col min="5385" max="5385" width="11.85546875" style="1" bestFit="1" customWidth="1"/>
    <col min="5386" max="5391" width="8" style="1" bestFit="1" customWidth="1"/>
    <col min="5392" max="5392" width="3" style="1" customWidth="1"/>
    <col min="5393" max="5634" width="11.42578125" style="1"/>
    <col min="5635" max="5635" width="13.5703125" style="1" bestFit="1" customWidth="1"/>
    <col min="5636" max="5638" width="11.5703125" style="1" bestFit="1" customWidth="1"/>
    <col min="5639" max="5639" width="7.42578125" style="1" bestFit="1" customWidth="1"/>
    <col min="5640" max="5640" width="8.42578125" style="1" customWidth="1"/>
    <col min="5641" max="5641" width="11.85546875" style="1" bestFit="1" customWidth="1"/>
    <col min="5642" max="5647" width="8" style="1" bestFit="1" customWidth="1"/>
    <col min="5648" max="5648" width="3" style="1" customWidth="1"/>
    <col min="5649" max="5890" width="11.42578125" style="1"/>
    <col min="5891" max="5891" width="13.5703125" style="1" bestFit="1" customWidth="1"/>
    <col min="5892" max="5894" width="11.5703125" style="1" bestFit="1" customWidth="1"/>
    <col min="5895" max="5895" width="7.42578125" style="1" bestFit="1" customWidth="1"/>
    <col min="5896" max="5896" width="8.42578125" style="1" customWidth="1"/>
    <col min="5897" max="5897" width="11.85546875" style="1" bestFit="1" customWidth="1"/>
    <col min="5898" max="5903" width="8" style="1" bestFit="1" customWidth="1"/>
    <col min="5904" max="5904" width="3" style="1" customWidth="1"/>
    <col min="5905" max="6146" width="11.42578125" style="1"/>
    <col min="6147" max="6147" width="13.5703125" style="1" bestFit="1" customWidth="1"/>
    <col min="6148" max="6150" width="11.5703125" style="1" bestFit="1" customWidth="1"/>
    <col min="6151" max="6151" width="7.42578125" style="1" bestFit="1" customWidth="1"/>
    <col min="6152" max="6152" width="8.42578125" style="1" customWidth="1"/>
    <col min="6153" max="6153" width="11.85546875" style="1" bestFit="1" customWidth="1"/>
    <col min="6154" max="6159" width="8" style="1" bestFit="1" customWidth="1"/>
    <col min="6160" max="6160" width="3" style="1" customWidth="1"/>
    <col min="6161" max="6402" width="11.42578125" style="1"/>
    <col min="6403" max="6403" width="13.5703125" style="1" bestFit="1" customWidth="1"/>
    <col min="6404" max="6406" width="11.5703125" style="1" bestFit="1" customWidth="1"/>
    <col min="6407" max="6407" width="7.42578125" style="1" bestFit="1" customWidth="1"/>
    <col min="6408" max="6408" width="8.42578125" style="1" customWidth="1"/>
    <col min="6409" max="6409" width="11.85546875" style="1" bestFit="1" customWidth="1"/>
    <col min="6410" max="6415" width="8" style="1" bestFit="1" customWidth="1"/>
    <col min="6416" max="6416" width="3" style="1" customWidth="1"/>
    <col min="6417" max="6658" width="11.42578125" style="1"/>
    <col min="6659" max="6659" width="13.5703125" style="1" bestFit="1" customWidth="1"/>
    <col min="6660" max="6662" width="11.5703125" style="1" bestFit="1" customWidth="1"/>
    <col min="6663" max="6663" width="7.42578125" style="1" bestFit="1" customWidth="1"/>
    <col min="6664" max="6664" width="8.42578125" style="1" customWidth="1"/>
    <col min="6665" max="6665" width="11.85546875" style="1" bestFit="1" customWidth="1"/>
    <col min="6666" max="6671" width="8" style="1" bestFit="1" customWidth="1"/>
    <col min="6672" max="6672" width="3" style="1" customWidth="1"/>
    <col min="6673" max="6914" width="11.42578125" style="1"/>
    <col min="6915" max="6915" width="13.5703125" style="1" bestFit="1" customWidth="1"/>
    <col min="6916" max="6918" width="11.5703125" style="1" bestFit="1" customWidth="1"/>
    <col min="6919" max="6919" width="7.42578125" style="1" bestFit="1" customWidth="1"/>
    <col min="6920" max="6920" width="8.42578125" style="1" customWidth="1"/>
    <col min="6921" max="6921" width="11.85546875" style="1" bestFit="1" customWidth="1"/>
    <col min="6922" max="6927" width="8" style="1" bestFit="1" customWidth="1"/>
    <col min="6928" max="6928" width="3" style="1" customWidth="1"/>
    <col min="6929" max="7170" width="11.42578125" style="1"/>
    <col min="7171" max="7171" width="13.5703125" style="1" bestFit="1" customWidth="1"/>
    <col min="7172" max="7174" width="11.5703125" style="1" bestFit="1" customWidth="1"/>
    <col min="7175" max="7175" width="7.42578125" style="1" bestFit="1" customWidth="1"/>
    <col min="7176" max="7176" width="8.42578125" style="1" customWidth="1"/>
    <col min="7177" max="7177" width="11.85546875" style="1" bestFit="1" customWidth="1"/>
    <col min="7178" max="7183" width="8" style="1" bestFit="1" customWidth="1"/>
    <col min="7184" max="7184" width="3" style="1" customWidth="1"/>
    <col min="7185" max="7426" width="11.42578125" style="1"/>
    <col min="7427" max="7427" width="13.5703125" style="1" bestFit="1" customWidth="1"/>
    <col min="7428" max="7430" width="11.5703125" style="1" bestFit="1" customWidth="1"/>
    <col min="7431" max="7431" width="7.42578125" style="1" bestFit="1" customWidth="1"/>
    <col min="7432" max="7432" width="8.42578125" style="1" customWidth="1"/>
    <col min="7433" max="7433" width="11.85546875" style="1" bestFit="1" customWidth="1"/>
    <col min="7434" max="7439" width="8" style="1" bestFit="1" customWidth="1"/>
    <col min="7440" max="7440" width="3" style="1" customWidth="1"/>
    <col min="7441" max="7682" width="11.42578125" style="1"/>
    <col min="7683" max="7683" width="13.5703125" style="1" bestFit="1" customWidth="1"/>
    <col min="7684" max="7686" width="11.5703125" style="1" bestFit="1" customWidth="1"/>
    <col min="7687" max="7687" width="7.42578125" style="1" bestFit="1" customWidth="1"/>
    <col min="7688" max="7688" width="8.42578125" style="1" customWidth="1"/>
    <col min="7689" max="7689" width="11.85546875" style="1" bestFit="1" customWidth="1"/>
    <col min="7690" max="7695" width="8" style="1" bestFit="1" customWidth="1"/>
    <col min="7696" max="7696" width="3" style="1" customWidth="1"/>
    <col min="7697" max="7938" width="11.42578125" style="1"/>
    <col min="7939" max="7939" width="13.5703125" style="1" bestFit="1" customWidth="1"/>
    <col min="7940" max="7942" width="11.5703125" style="1" bestFit="1" customWidth="1"/>
    <col min="7943" max="7943" width="7.42578125" style="1" bestFit="1" customWidth="1"/>
    <col min="7944" max="7944" width="8.42578125" style="1" customWidth="1"/>
    <col min="7945" max="7945" width="11.85546875" style="1" bestFit="1" customWidth="1"/>
    <col min="7946" max="7951" width="8" style="1" bestFit="1" customWidth="1"/>
    <col min="7952" max="7952" width="3" style="1" customWidth="1"/>
    <col min="7953" max="8194" width="11.42578125" style="1"/>
    <col min="8195" max="8195" width="13.5703125" style="1" bestFit="1" customWidth="1"/>
    <col min="8196" max="8198" width="11.5703125" style="1" bestFit="1" customWidth="1"/>
    <col min="8199" max="8199" width="7.42578125" style="1" bestFit="1" customWidth="1"/>
    <col min="8200" max="8200" width="8.42578125" style="1" customWidth="1"/>
    <col min="8201" max="8201" width="11.85546875" style="1" bestFit="1" customWidth="1"/>
    <col min="8202" max="8207" width="8" style="1" bestFit="1" customWidth="1"/>
    <col min="8208" max="8208" width="3" style="1" customWidth="1"/>
    <col min="8209" max="8450" width="11.42578125" style="1"/>
    <col min="8451" max="8451" width="13.5703125" style="1" bestFit="1" customWidth="1"/>
    <col min="8452" max="8454" width="11.5703125" style="1" bestFit="1" customWidth="1"/>
    <col min="8455" max="8455" width="7.42578125" style="1" bestFit="1" customWidth="1"/>
    <col min="8456" max="8456" width="8.42578125" style="1" customWidth="1"/>
    <col min="8457" max="8457" width="11.85546875" style="1" bestFit="1" customWidth="1"/>
    <col min="8458" max="8463" width="8" style="1" bestFit="1" customWidth="1"/>
    <col min="8464" max="8464" width="3" style="1" customWidth="1"/>
    <col min="8465" max="8706" width="11.42578125" style="1"/>
    <col min="8707" max="8707" width="13.5703125" style="1" bestFit="1" customWidth="1"/>
    <col min="8708" max="8710" width="11.5703125" style="1" bestFit="1" customWidth="1"/>
    <col min="8711" max="8711" width="7.42578125" style="1" bestFit="1" customWidth="1"/>
    <col min="8712" max="8712" width="8.42578125" style="1" customWidth="1"/>
    <col min="8713" max="8713" width="11.85546875" style="1" bestFit="1" customWidth="1"/>
    <col min="8714" max="8719" width="8" style="1" bestFit="1" customWidth="1"/>
    <col min="8720" max="8720" width="3" style="1" customWidth="1"/>
    <col min="8721" max="8962" width="11.42578125" style="1"/>
    <col min="8963" max="8963" width="13.5703125" style="1" bestFit="1" customWidth="1"/>
    <col min="8964" max="8966" width="11.5703125" style="1" bestFit="1" customWidth="1"/>
    <col min="8967" max="8967" width="7.42578125" style="1" bestFit="1" customWidth="1"/>
    <col min="8968" max="8968" width="8.42578125" style="1" customWidth="1"/>
    <col min="8969" max="8969" width="11.85546875" style="1" bestFit="1" customWidth="1"/>
    <col min="8970" max="8975" width="8" style="1" bestFit="1" customWidth="1"/>
    <col min="8976" max="8976" width="3" style="1" customWidth="1"/>
    <col min="8977" max="9218" width="11.42578125" style="1"/>
    <col min="9219" max="9219" width="13.5703125" style="1" bestFit="1" customWidth="1"/>
    <col min="9220" max="9222" width="11.5703125" style="1" bestFit="1" customWidth="1"/>
    <col min="9223" max="9223" width="7.42578125" style="1" bestFit="1" customWidth="1"/>
    <col min="9224" max="9224" width="8.42578125" style="1" customWidth="1"/>
    <col min="9225" max="9225" width="11.85546875" style="1" bestFit="1" customWidth="1"/>
    <col min="9226" max="9231" width="8" style="1" bestFit="1" customWidth="1"/>
    <col min="9232" max="9232" width="3" style="1" customWidth="1"/>
    <col min="9233" max="9474" width="11.42578125" style="1"/>
    <col min="9475" max="9475" width="13.5703125" style="1" bestFit="1" customWidth="1"/>
    <col min="9476" max="9478" width="11.5703125" style="1" bestFit="1" customWidth="1"/>
    <col min="9479" max="9479" width="7.42578125" style="1" bestFit="1" customWidth="1"/>
    <col min="9480" max="9480" width="8.42578125" style="1" customWidth="1"/>
    <col min="9481" max="9481" width="11.85546875" style="1" bestFit="1" customWidth="1"/>
    <col min="9482" max="9487" width="8" style="1" bestFit="1" customWidth="1"/>
    <col min="9488" max="9488" width="3" style="1" customWidth="1"/>
    <col min="9489" max="9730" width="11.42578125" style="1"/>
    <col min="9731" max="9731" width="13.5703125" style="1" bestFit="1" customWidth="1"/>
    <col min="9732" max="9734" width="11.5703125" style="1" bestFit="1" customWidth="1"/>
    <col min="9735" max="9735" width="7.42578125" style="1" bestFit="1" customWidth="1"/>
    <col min="9736" max="9736" width="8.42578125" style="1" customWidth="1"/>
    <col min="9737" max="9737" width="11.85546875" style="1" bestFit="1" customWidth="1"/>
    <col min="9738" max="9743" width="8" style="1" bestFit="1" customWidth="1"/>
    <col min="9744" max="9744" width="3" style="1" customWidth="1"/>
    <col min="9745" max="9986" width="11.42578125" style="1"/>
    <col min="9987" max="9987" width="13.5703125" style="1" bestFit="1" customWidth="1"/>
    <col min="9988" max="9990" width="11.5703125" style="1" bestFit="1" customWidth="1"/>
    <col min="9991" max="9991" width="7.42578125" style="1" bestFit="1" customWidth="1"/>
    <col min="9992" max="9992" width="8.42578125" style="1" customWidth="1"/>
    <col min="9993" max="9993" width="11.85546875" style="1" bestFit="1" customWidth="1"/>
    <col min="9994" max="9999" width="8" style="1" bestFit="1" customWidth="1"/>
    <col min="10000" max="10000" width="3" style="1" customWidth="1"/>
    <col min="10001" max="10242" width="11.42578125" style="1"/>
    <col min="10243" max="10243" width="13.5703125" style="1" bestFit="1" customWidth="1"/>
    <col min="10244" max="10246" width="11.5703125" style="1" bestFit="1" customWidth="1"/>
    <col min="10247" max="10247" width="7.42578125" style="1" bestFit="1" customWidth="1"/>
    <col min="10248" max="10248" width="8.42578125" style="1" customWidth="1"/>
    <col min="10249" max="10249" width="11.85546875" style="1" bestFit="1" customWidth="1"/>
    <col min="10250" max="10255" width="8" style="1" bestFit="1" customWidth="1"/>
    <col min="10256" max="10256" width="3" style="1" customWidth="1"/>
    <col min="10257" max="10498" width="11.42578125" style="1"/>
    <col min="10499" max="10499" width="13.5703125" style="1" bestFit="1" customWidth="1"/>
    <col min="10500" max="10502" width="11.5703125" style="1" bestFit="1" customWidth="1"/>
    <col min="10503" max="10503" width="7.42578125" style="1" bestFit="1" customWidth="1"/>
    <col min="10504" max="10504" width="8.42578125" style="1" customWidth="1"/>
    <col min="10505" max="10505" width="11.85546875" style="1" bestFit="1" customWidth="1"/>
    <col min="10506" max="10511" width="8" style="1" bestFit="1" customWidth="1"/>
    <col min="10512" max="10512" width="3" style="1" customWidth="1"/>
    <col min="10513" max="10754" width="11.42578125" style="1"/>
    <col min="10755" max="10755" width="13.5703125" style="1" bestFit="1" customWidth="1"/>
    <col min="10756" max="10758" width="11.5703125" style="1" bestFit="1" customWidth="1"/>
    <col min="10759" max="10759" width="7.42578125" style="1" bestFit="1" customWidth="1"/>
    <col min="10760" max="10760" width="8.42578125" style="1" customWidth="1"/>
    <col min="10761" max="10761" width="11.85546875" style="1" bestFit="1" customWidth="1"/>
    <col min="10762" max="10767" width="8" style="1" bestFit="1" customWidth="1"/>
    <col min="10768" max="10768" width="3" style="1" customWidth="1"/>
    <col min="10769" max="11010" width="11.42578125" style="1"/>
    <col min="11011" max="11011" width="13.5703125" style="1" bestFit="1" customWidth="1"/>
    <col min="11012" max="11014" width="11.5703125" style="1" bestFit="1" customWidth="1"/>
    <col min="11015" max="11015" width="7.42578125" style="1" bestFit="1" customWidth="1"/>
    <col min="11016" max="11016" width="8.42578125" style="1" customWidth="1"/>
    <col min="11017" max="11017" width="11.85546875" style="1" bestFit="1" customWidth="1"/>
    <col min="11018" max="11023" width="8" style="1" bestFit="1" customWidth="1"/>
    <col min="11024" max="11024" width="3" style="1" customWidth="1"/>
    <col min="11025" max="11266" width="11.42578125" style="1"/>
    <col min="11267" max="11267" width="13.5703125" style="1" bestFit="1" customWidth="1"/>
    <col min="11268" max="11270" width="11.5703125" style="1" bestFit="1" customWidth="1"/>
    <col min="11271" max="11271" width="7.42578125" style="1" bestFit="1" customWidth="1"/>
    <col min="11272" max="11272" width="8.42578125" style="1" customWidth="1"/>
    <col min="11273" max="11273" width="11.85546875" style="1" bestFit="1" customWidth="1"/>
    <col min="11274" max="11279" width="8" style="1" bestFit="1" customWidth="1"/>
    <col min="11280" max="11280" width="3" style="1" customWidth="1"/>
    <col min="11281" max="11522" width="11.42578125" style="1"/>
    <col min="11523" max="11523" width="13.5703125" style="1" bestFit="1" customWidth="1"/>
    <col min="11524" max="11526" width="11.5703125" style="1" bestFit="1" customWidth="1"/>
    <col min="11527" max="11527" width="7.42578125" style="1" bestFit="1" customWidth="1"/>
    <col min="11528" max="11528" width="8.42578125" style="1" customWidth="1"/>
    <col min="11529" max="11529" width="11.85546875" style="1" bestFit="1" customWidth="1"/>
    <col min="11530" max="11535" width="8" style="1" bestFit="1" customWidth="1"/>
    <col min="11536" max="11536" width="3" style="1" customWidth="1"/>
    <col min="11537" max="11778" width="11.42578125" style="1"/>
    <col min="11779" max="11779" width="13.5703125" style="1" bestFit="1" customWidth="1"/>
    <col min="11780" max="11782" width="11.5703125" style="1" bestFit="1" customWidth="1"/>
    <col min="11783" max="11783" width="7.42578125" style="1" bestFit="1" customWidth="1"/>
    <col min="11784" max="11784" width="8.42578125" style="1" customWidth="1"/>
    <col min="11785" max="11785" width="11.85546875" style="1" bestFit="1" customWidth="1"/>
    <col min="11786" max="11791" width="8" style="1" bestFit="1" customWidth="1"/>
    <col min="11792" max="11792" width="3" style="1" customWidth="1"/>
    <col min="11793" max="12034" width="11.42578125" style="1"/>
    <col min="12035" max="12035" width="13.5703125" style="1" bestFit="1" customWidth="1"/>
    <col min="12036" max="12038" width="11.5703125" style="1" bestFit="1" customWidth="1"/>
    <col min="12039" max="12039" width="7.42578125" style="1" bestFit="1" customWidth="1"/>
    <col min="12040" max="12040" width="8.42578125" style="1" customWidth="1"/>
    <col min="12041" max="12041" width="11.85546875" style="1" bestFit="1" customWidth="1"/>
    <col min="12042" max="12047" width="8" style="1" bestFit="1" customWidth="1"/>
    <col min="12048" max="12048" width="3" style="1" customWidth="1"/>
    <col min="12049" max="12290" width="11.42578125" style="1"/>
    <col min="12291" max="12291" width="13.5703125" style="1" bestFit="1" customWidth="1"/>
    <col min="12292" max="12294" width="11.5703125" style="1" bestFit="1" customWidth="1"/>
    <col min="12295" max="12295" width="7.42578125" style="1" bestFit="1" customWidth="1"/>
    <col min="12296" max="12296" width="8.42578125" style="1" customWidth="1"/>
    <col min="12297" max="12297" width="11.85546875" style="1" bestFit="1" customWidth="1"/>
    <col min="12298" max="12303" width="8" style="1" bestFit="1" customWidth="1"/>
    <col min="12304" max="12304" width="3" style="1" customWidth="1"/>
    <col min="12305" max="12546" width="11.42578125" style="1"/>
    <col min="12547" max="12547" width="13.5703125" style="1" bestFit="1" customWidth="1"/>
    <col min="12548" max="12550" width="11.5703125" style="1" bestFit="1" customWidth="1"/>
    <col min="12551" max="12551" width="7.42578125" style="1" bestFit="1" customWidth="1"/>
    <col min="12552" max="12552" width="8.42578125" style="1" customWidth="1"/>
    <col min="12553" max="12553" width="11.85546875" style="1" bestFit="1" customWidth="1"/>
    <col min="12554" max="12559" width="8" style="1" bestFit="1" customWidth="1"/>
    <col min="12560" max="12560" width="3" style="1" customWidth="1"/>
    <col min="12561" max="12802" width="11.42578125" style="1"/>
    <col min="12803" max="12803" width="13.5703125" style="1" bestFit="1" customWidth="1"/>
    <col min="12804" max="12806" width="11.5703125" style="1" bestFit="1" customWidth="1"/>
    <col min="12807" max="12807" width="7.42578125" style="1" bestFit="1" customWidth="1"/>
    <col min="12808" max="12808" width="8.42578125" style="1" customWidth="1"/>
    <col min="12809" max="12809" width="11.85546875" style="1" bestFit="1" customWidth="1"/>
    <col min="12810" max="12815" width="8" style="1" bestFit="1" customWidth="1"/>
    <col min="12816" max="12816" width="3" style="1" customWidth="1"/>
    <col min="12817" max="13058" width="11.42578125" style="1"/>
    <col min="13059" max="13059" width="13.5703125" style="1" bestFit="1" customWidth="1"/>
    <col min="13060" max="13062" width="11.5703125" style="1" bestFit="1" customWidth="1"/>
    <col min="13063" max="13063" width="7.42578125" style="1" bestFit="1" customWidth="1"/>
    <col min="13064" max="13064" width="8.42578125" style="1" customWidth="1"/>
    <col min="13065" max="13065" width="11.85546875" style="1" bestFit="1" customWidth="1"/>
    <col min="13066" max="13071" width="8" style="1" bestFit="1" customWidth="1"/>
    <col min="13072" max="13072" width="3" style="1" customWidth="1"/>
    <col min="13073" max="13314" width="11.42578125" style="1"/>
    <col min="13315" max="13315" width="13.5703125" style="1" bestFit="1" customWidth="1"/>
    <col min="13316" max="13318" width="11.5703125" style="1" bestFit="1" customWidth="1"/>
    <col min="13319" max="13319" width="7.42578125" style="1" bestFit="1" customWidth="1"/>
    <col min="13320" max="13320" width="8.42578125" style="1" customWidth="1"/>
    <col min="13321" max="13321" width="11.85546875" style="1" bestFit="1" customWidth="1"/>
    <col min="13322" max="13327" width="8" style="1" bestFit="1" customWidth="1"/>
    <col min="13328" max="13328" width="3" style="1" customWidth="1"/>
    <col min="13329" max="13570" width="11.42578125" style="1"/>
    <col min="13571" max="13571" width="13.5703125" style="1" bestFit="1" customWidth="1"/>
    <col min="13572" max="13574" width="11.5703125" style="1" bestFit="1" customWidth="1"/>
    <col min="13575" max="13575" width="7.42578125" style="1" bestFit="1" customWidth="1"/>
    <col min="13576" max="13576" width="8.42578125" style="1" customWidth="1"/>
    <col min="13577" max="13577" width="11.85546875" style="1" bestFit="1" customWidth="1"/>
    <col min="13578" max="13583" width="8" style="1" bestFit="1" customWidth="1"/>
    <col min="13584" max="13584" width="3" style="1" customWidth="1"/>
    <col min="13585" max="13826" width="11.42578125" style="1"/>
    <col min="13827" max="13827" width="13.5703125" style="1" bestFit="1" customWidth="1"/>
    <col min="13828" max="13830" width="11.5703125" style="1" bestFit="1" customWidth="1"/>
    <col min="13831" max="13831" width="7.42578125" style="1" bestFit="1" customWidth="1"/>
    <col min="13832" max="13832" width="8.42578125" style="1" customWidth="1"/>
    <col min="13833" max="13833" width="11.85546875" style="1" bestFit="1" customWidth="1"/>
    <col min="13834" max="13839" width="8" style="1" bestFit="1" customWidth="1"/>
    <col min="13840" max="13840" width="3" style="1" customWidth="1"/>
    <col min="13841" max="14082" width="11.42578125" style="1"/>
    <col min="14083" max="14083" width="13.5703125" style="1" bestFit="1" customWidth="1"/>
    <col min="14084" max="14086" width="11.5703125" style="1" bestFit="1" customWidth="1"/>
    <col min="14087" max="14087" width="7.42578125" style="1" bestFit="1" customWidth="1"/>
    <col min="14088" max="14088" width="8.42578125" style="1" customWidth="1"/>
    <col min="14089" max="14089" width="11.85546875" style="1" bestFit="1" customWidth="1"/>
    <col min="14090" max="14095" width="8" style="1" bestFit="1" customWidth="1"/>
    <col min="14096" max="14096" width="3" style="1" customWidth="1"/>
    <col min="14097" max="14338" width="11.42578125" style="1"/>
    <col min="14339" max="14339" width="13.5703125" style="1" bestFit="1" customWidth="1"/>
    <col min="14340" max="14342" width="11.5703125" style="1" bestFit="1" customWidth="1"/>
    <col min="14343" max="14343" width="7.42578125" style="1" bestFit="1" customWidth="1"/>
    <col min="14344" max="14344" width="8.42578125" style="1" customWidth="1"/>
    <col min="14345" max="14345" width="11.85546875" style="1" bestFit="1" customWidth="1"/>
    <col min="14346" max="14351" width="8" style="1" bestFit="1" customWidth="1"/>
    <col min="14352" max="14352" width="3" style="1" customWidth="1"/>
    <col min="14353" max="14594" width="11.42578125" style="1"/>
    <col min="14595" max="14595" width="13.5703125" style="1" bestFit="1" customWidth="1"/>
    <col min="14596" max="14598" width="11.5703125" style="1" bestFit="1" customWidth="1"/>
    <col min="14599" max="14599" width="7.42578125" style="1" bestFit="1" customWidth="1"/>
    <col min="14600" max="14600" width="8.42578125" style="1" customWidth="1"/>
    <col min="14601" max="14601" width="11.85546875" style="1" bestFit="1" customWidth="1"/>
    <col min="14602" max="14607" width="8" style="1" bestFit="1" customWidth="1"/>
    <col min="14608" max="14608" width="3" style="1" customWidth="1"/>
    <col min="14609" max="14850" width="11.42578125" style="1"/>
    <col min="14851" max="14851" width="13.5703125" style="1" bestFit="1" customWidth="1"/>
    <col min="14852" max="14854" width="11.5703125" style="1" bestFit="1" customWidth="1"/>
    <col min="14855" max="14855" width="7.42578125" style="1" bestFit="1" customWidth="1"/>
    <col min="14856" max="14856" width="8.42578125" style="1" customWidth="1"/>
    <col min="14857" max="14857" width="11.85546875" style="1" bestFit="1" customWidth="1"/>
    <col min="14858" max="14863" width="8" style="1" bestFit="1" customWidth="1"/>
    <col min="14864" max="14864" width="3" style="1" customWidth="1"/>
    <col min="14865" max="15106" width="11.42578125" style="1"/>
    <col min="15107" max="15107" width="13.5703125" style="1" bestFit="1" customWidth="1"/>
    <col min="15108" max="15110" width="11.5703125" style="1" bestFit="1" customWidth="1"/>
    <col min="15111" max="15111" width="7.42578125" style="1" bestFit="1" customWidth="1"/>
    <col min="15112" max="15112" width="8.42578125" style="1" customWidth="1"/>
    <col min="15113" max="15113" width="11.85546875" style="1" bestFit="1" customWidth="1"/>
    <col min="15114" max="15119" width="8" style="1" bestFit="1" customWidth="1"/>
    <col min="15120" max="15120" width="3" style="1" customWidth="1"/>
    <col min="15121" max="15362" width="11.42578125" style="1"/>
    <col min="15363" max="15363" width="13.5703125" style="1" bestFit="1" customWidth="1"/>
    <col min="15364" max="15366" width="11.5703125" style="1" bestFit="1" customWidth="1"/>
    <col min="15367" max="15367" width="7.42578125" style="1" bestFit="1" customWidth="1"/>
    <col min="15368" max="15368" width="8.42578125" style="1" customWidth="1"/>
    <col min="15369" max="15369" width="11.85546875" style="1" bestFit="1" customWidth="1"/>
    <col min="15370" max="15375" width="8" style="1" bestFit="1" customWidth="1"/>
    <col min="15376" max="15376" width="3" style="1" customWidth="1"/>
    <col min="15377" max="15618" width="11.42578125" style="1"/>
    <col min="15619" max="15619" width="13.5703125" style="1" bestFit="1" customWidth="1"/>
    <col min="15620" max="15622" width="11.5703125" style="1" bestFit="1" customWidth="1"/>
    <col min="15623" max="15623" width="7.42578125" style="1" bestFit="1" customWidth="1"/>
    <col min="15624" max="15624" width="8.42578125" style="1" customWidth="1"/>
    <col min="15625" max="15625" width="11.85546875" style="1" bestFit="1" customWidth="1"/>
    <col min="15626" max="15631" width="8" style="1" bestFit="1" customWidth="1"/>
    <col min="15632" max="15632" width="3" style="1" customWidth="1"/>
    <col min="15633" max="15874" width="11.42578125" style="1"/>
    <col min="15875" max="15875" width="13.5703125" style="1" bestFit="1" customWidth="1"/>
    <col min="15876" max="15878" width="11.5703125" style="1" bestFit="1" customWidth="1"/>
    <col min="15879" max="15879" width="7.42578125" style="1" bestFit="1" customWidth="1"/>
    <col min="15880" max="15880" width="8.42578125" style="1" customWidth="1"/>
    <col min="15881" max="15881" width="11.85546875" style="1" bestFit="1" customWidth="1"/>
    <col min="15882" max="15887" width="8" style="1" bestFit="1" customWidth="1"/>
    <col min="15888" max="15888" width="3" style="1" customWidth="1"/>
    <col min="15889" max="16130" width="11.42578125" style="1"/>
    <col min="16131" max="16131" width="13.5703125" style="1" bestFit="1" customWidth="1"/>
    <col min="16132" max="16134" width="11.5703125" style="1" bestFit="1" customWidth="1"/>
    <col min="16135" max="16135" width="7.42578125" style="1" bestFit="1" customWidth="1"/>
    <col min="16136" max="16136" width="8.42578125" style="1" customWidth="1"/>
    <col min="16137" max="16137" width="11.85546875" style="1" bestFit="1" customWidth="1"/>
    <col min="16138" max="16143" width="8" style="1" bestFit="1" customWidth="1"/>
    <col min="16144" max="16144" width="3" style="1" customWidth="1"/>
    <col min="16145" max="16384" width="11.42578125" style="1"/>
  </cols>
  <sheetData>
    <row r="1" spans="2:33" ht="25.5" customHeight="1">
      <c r="B1" s="290"/>
      <c r="C1" s="291"/>
      <c r="D1" s="310" t="s">
        <v>32</v>
      </c>
      <c r="E1" s="311"/>
      <c r="F1" s="311"/>
      <c r="G1" s="311"/>
      <c r="H1" s="311"/>
      <c r="I1" s="311"/>
      <c r="J1" s="311"/>
      <c r="K1" s="312"/>
      <c r="L1" s="342"/>
      <c r="M1" s="343"/>
      <c r="N1" s="343"/>
      <c r="O1" s="344"/>
      <c r="Q1" s="2"/>
      <c r="R1" s="307"/>
      <c r="S1" s="307"/>
      <c r="T1" s="307"/>
      <c r="U1" s="307"/>
      <c r="V1" s="307"/>
      <c r="W1" s="307"/>
      <c r="X1" s="307"/>
      <c r="Y1" s="307"/>
      <c r="Z1" s="307"/>
      <c r="AA1" s="307"/>
      <c r="AB1" s="307"/>
      <c r="AC1" s="296"/>
      <c r="AD1" s="296"/>
      <c r="AE1" s="283"/>
      <c r="AF1" s="283"/>
      <c r="AG1" s="283"/>
    </row>
    <row r="2" spans="2:33" ht="25.5" customHeight="1">
      <c r="B2" s="292"/>
      <c r="C2" s="293"/>
      <c r="D2" s="297" t="s">
        <v>31</v>
      </c>
      <c r="E2" s="298"/>
      <c r="F2" s="298"/>
      <c r="G2" s="298"/>
      <c r="H2" s="298"/>
      <c r="I2" s="298"/>
      <c r="J2" s="298"/>
      <c r="K2" s="299"/>
      <c r="L2" s="345"/>
      <c r="M2" s="346"/>
      <c r="N2" s="346"/>
      <c r="O2" s="347"/>
      <c r="Q2" s="2"/>
      <c r="R2" s="307"/>
      <c r="S2" s="307"/>
      <c r="T2" s="307"/>
      <c r="U2" s="307"/>
      <c r="V2" s="307"/>
      <c r="W2" s="307"/>
      <c r="X2" s="307"/>
      <c r="Y2" s="307"/>
      <c r="Z2" s="307"/>
      <c r="AA2" s="307"/>
      <c r="AB2" s="307"/>
      <c r="AC2" s="296"/>
      <c r="AD2" s="296"/>
      <c r="AE2" s="283"/>
      <c r="AF2" s="283"/>
      <c r="AG2" s="283"/>
    </row>
    <row r="3" spans="2:33" ht="25.5" customHeight="1">
      <c r="B3" s="294"/>
      <c r="C3" s="295"/>
      <c r="D3" s="300"/>
      <c r="E3" s="301"/>
      <c r="F3" s="301"/>
      <c r="G3" s="301"/>
      <c r="H3" s="301"/>
      <c r="I3" s="301"/>
      <c r="J3" s="301"/>
      <c r="K3" s="302"/>
      <c r="L3" s="348"/>
      <c r="M3" s="349"/>
      <c r="N3" s="349"/>
      <c r="O3" s="350"/>
      <c r="Q3" s="2"/>
      <c r="R3" s="307"/>
      <c r="S3" s="307"/>
      <c r="T3" s="307"/>
      <c r="U3" s="307"/>
      <c r="V3" s="307"/>
      <c r="W3" s="307"/>
      <c r="X3" s="307"/>
      <c r="Y3" s="307"/>
      <c r="Z3" s="307"/>
      <c r="AA3" s="307"/>
      <c r="AB3" s="307"/>
      <c r="AC3" s="296"/>
      <c r="AD3" s="296"/>
      <c r="AE3" s="282"/>
      <c r="AF3" s="283"/>
      <c r="AG3" s="283"/>
    </row>
    <row r="4" spans="2:33" ht="12.75" customHeight="1">
      <c r="B4" s="5"/>
      <c r="K4" s="284"/>
      <c r="L4" s="284"/>
      <c r="M4" s="284"/>
      <c r="N4" s="284"/>
      <c r="O4" s="285"/>
    </row>
    <row r="5" spans="2:33" ht="15" customHeight="1">
      <c r="B5" s="286" t="s">
        <v>0</v>
      </c>
      <c r="C5" s="287"/>
      <c r="D5" s="351" t="s">
        <v>269</v>
      </c>
      <c r="E5" s="351"/>
      <c r="F5" s="351"/>
      <c r="G5" s="351"/>
      <c r="H5" s="287" t="s">
        <v>1</v>
      </c>
      <c r="I5" s="287"/>
      <c r="J5" s="289" t="s">
        <v>141</v>
      </c>
      <c r="K5" s="289"/>
      <c r="L5" s="289"/>
      <c r="M5" s="289"/>
      <c r="N5" s="289"/>
      <c r="O5" s="9"/>
    </row>
    <row r="6" spans="2:33" ht="14.25" customHeight="1" thickBot="1">
      <c r="B6" s="92"/>
      <c r="C6" s="93"/>
      <c r="D6" s="93"/>
      <c r="E6" s="7"/>
      <c r="F6" s="7"/>
      <c r="G6" s="7"/>
      <c r="H6" s="7"/>
      <c r="I6" s="7"/>
      <c r="J6" s="7"/>
      <c r="K6" s="7"/>
      <c r="L6" s="7"/>
      <c r="M6" s="7"/>
      <c r="N6" s="7"/>
      <c r="O6" s="8"/>
      <c r="Q6" s="2"/>
    </row>
    <row r="7" spans="2:33" ht="20.25" customHeight="1" thickBot="1">
      <c r="B7" s="333" t="s">
        <v>2</v>
      </c>
      <c r="C7" s="334"/>
      <c r="D7" s="335"/>
      <c r="E7" s="277" t="s">
        <v>215</v>
      </c>
      <c r="F7" s="277"/>
      <c r="G7" s="277"/>
      <c r="H7" s="277"/>
      <c r="I7" s="277"/>
      <c r="J7" s="277"/>
      <c r="K7" s="277"/>
      <c r="L7" s="277"/>
      <c r="M7" s="277"/>
      <c r="N7" s="277"/>
      <c r="O7" s="278"/>
      <c r="Q7" s="2"/>
    </row>
    <row r="8" spans="2:33" ht="20.25" customHeight="1" thickBot="1">
      <c r="B8" s="333" t="s">
        <v>144</v>
      </c>
      <c r="C8" s="334"/>
      <c r="D8" s="335"/>
      <c r="E8" s="277" t="s">
        <v>212</v>
      </c>
      <c r="F8" s="277"/>
      <c r="G8" s="277"/>
      <c r="H8" s="277"/>
      <c r="I8" s="277"/>
      <c r="J8" s="277"/>
      <c r="K8" s="277"/>
      <c r="L8" s="277"/>
      <c r="M8" s="277"/>
      <c r="N8" s="277"/>
      <c r="O8" s="278"/>
    </row>
    <row r="9" spans="2:33" ht="20.25" customHeight="1" thickBot="1">
      <c r="B9" s="333" t="s">
        <v>4</v>
      </c>
      <c r="C9" s="334"/>
      <c r="D9" s="335"/>
      <c r="E9" s="356" t="s">
        <v>216</v>
      </c>
      <c r="F9" s="356"/>
      <c r="G9" s="356"/>
      <c r="H9" s="356"/>
      <c r="I9" s="356"/>
      <c r="J9" s="356"/>
      <c r="K9" s="356"/>
      <c r="L9" s="356"/>
      <c r="M9" s="356"/>
      <c r="N9" s="356"/>
      <c r="O9" s="357"/>
    </row>
    <row r="10" spans="2:33" ht="20.25" customHeight="1" thickBot="1">
      <c r="B10" s="333" t="s">
        <v>143</v>
      </c>
      <c r="C10" s="334"/>
      <c r="D10" s="335"/>
      <c r="E10" s="356" t="s">
        <v>212</v>
      </c>
      <c r="F10" s="356"/>
      <c r="G10" s="356"/>
      <c r="H10" s="356"/>
      <c r="I10" s="356"/>
      <c r="J10" s="356"/>
      <c r="K10" s="356"/>
      <c r="L10" s="356"/>
      <c r="M10" s="356"/>
      <c r="N10" s="356"/>
      <c r="O10" s="357"/>
    </row>
    <row r="11" spans="2:33" ht="16.5" customHeight="1">
      <c r="B11" s="340" t="s">
        <v>136</v>
      </c>
      <c r="C11" s="341"/>
      <c r="D11" s="341"/>
      <c r="E11" s="220"/>
      <c r="F11" s="220"/>
      <c r="G11" s="220"/>
      <c r="H11" s="220"/>
      <c r="I11" s="220"/>
      <c r="J11" s="220"/>
      <c r="K11" s="220"/>
      <c r="L11" s="220"/>
      <c r="M11" s="220"/>
      <c r="N11" s="220"/>
      <c r="O11" s="221"/>
    </row>
    <row r="12" spans="2:33" ht="25.5" customHeight="1">
      <c r="B12" s="265" t="s">
        <v>137</v>
      </c>
      <c r="C12" s="266"/>
      <c r="D12" s="266"/>
      <c r="E12" s="266"/>
      <c r="F12" s="266"/>
      <c r="G12" s="266"/>
      <c r="H12" s="266"/>
      <c r="I12" s="266"/>
      <c r="J12" s="266"/>
      <c r="K12" s="266"/>
      <c r="L12" s="266"/>
      <c r="M12" s="266"/>
      <c r="N12" s="266"/>
      <c r="O12" s="267"/>
    </row>
    <row r="13" spans="2:33" ht="16.5" customHeight="1">
      <c r="B13" s="219" t="s">
        <v>12</v>
      </c>
      <c r="C13" s="220"/>
      <c r="D13" s="220"/>
      <c r="E13" s="220"/>
      <c r="F13" s="220"/>
      <c r="G13" s="220"/>
      <c r="H13" s="220"/>
      <c r="I13" s="220"/>
      <c r="J13" s="220"/>
      <c r="K13" s="220"/>
      <c r="L13" s="220"/>
      <c r="M13" s="220"/>
      <c r="N13" s="220"/>
      <c r="O13" s="221"/>
    </row>
    <row r="14" spans="2:33" ht="18.75" customHeight="1">
      <c r="B14" s="244" t="s">
        <v>142</v>
      </c>
      <c r="C14" s="245"/>
      <c r="D14" s="245"/>
      <c r="E14" s="245"/>
      <c r="F14" s="245"/>
      <c r="G14" s="245"/>
      <c r="H14" s="245"/>
      <c r="I14" s="245"/>
      <c r="J14" s="245"/>
      <c r="K14" s="245"/>
      <c r="L14" s="245"/>
      <c r="M14" s="245"/>
      <c r="N14" s="245"/>
      <c r="O14" s="246"/>
    </row>
    <row r="15" spans="2:33" ht="18.75" customHeight="1">
      <c r="B15" s="219" t="s">
        <v>13</v>
      </c>
      <c r="C15" s="220"/>
      <c r="D15" s="220"/>
      <c r="E15" s="220"/>
      <c r="F15" s="220"/>
      <c r="G15" s="220"/>
      <c r="H15" s="220"/>
      <c r="I15" s="220"/>
      <c r="J15" s="220"/>
      <c r="K15" s="220"/>
      <c r="L15" s="220"/>
      <c r="M15" s="220"/>
      <c r="N15" s="220"/>
      <c r="O15" s="221"/>
    </row>
    <row r="16" spans="2:33" s="4" customFormat="1" ht="24">
      <c r="B16" s="22" t="s">
        <v>148</v>
      </c>
      <c r="C16" s="22" t="s">
        <v>14</v>
      </c>
      <c r="D16" s="22" t="s">
        <v>15</v>
      </c>
      <c r="E16" s="22" t="s">
        <v>16</v>
      </c>
      <c r="F16" s="22" t="s">
        <v>17</v>
      </c>
      <c r="G16" s="22" t="s">
        <v>18</v>
      </c>
      <c r="H16" s="22" t="s">
        <v>19</v>
      </c>
      <c r="I16" s="22" t="s">
        <v>20</v>
      </c>
      <c r="J16" s="22" t="s">
        <v>21</v>
      </c>
      <c r="K16" s="22" t="s">
        <v>22</v>
      </c>
      <c r="L16" s="22" t="s">
        <v>23</v>
      </c>
      <c r="M16" s="22" t="s">
        <v>24</v>
      </c>
      <c r="N16" s="22" t="s">
        <v>25</v>
      </c>
      <c r="O16" s="24" t="s">
        <v>45</v>
      </c>
    </row>
    <row r="17" spans="2:15" ht="21" customHeight="1">
      <c r="B17" s="94" t="s">
        <v>217</v>
      </c>
      <c r="C17" s="27">
        <v>1</v>
      </c>
      <c r="D17" s="27"/>
      <c r="E17" s="27"/>
      <c r="F17" s="27"/>
      <c r="G17" s="27"/>
      <c r="H17" s="27"/>
      <c r="I17" s="27"/>
      <c r="J17" s="27"/>
      <c r="K17" s="27"/>
      <c r="L17" s="27"/>
      <c r="M17" s="27"/>
      <c r="N17" s="27"/>
      <c r="O17" s="65"/>
    </row>
    <row r="18" spans="2:15" ht="21" customHeight="1">
      <c r="B18" s="94" t="s">
        <v>218</v>
      </c>
      <c r="C18" s="27"/>
      <c r="D18" s="27"/>
      <c r="E18" s="27"/>
      <c r="F18" s="27"/>
      <c r="G18" s="27"/>
      <c r="H18" s="27"/>
      <c r="I18" s="27"/>
      <c r="J18" s="27"/>
      <c r="K18" s="48"/>
      <c r="L18" s="48"/>
      <c r="M18" s="48"/>
      <c r="N18" s="48"/>
      <c r="O18" s="65"/>
    </row>
    <row r="19" spans="2:15" ht="21" customHeight="1">
      <c r="B19" s="91" t="s">
        <v>209</v>
      </c>
      <c r="C19" s="90" t="e">
        <f>C17/C18*100</f>
        <v>#DIV/0!</v>
      </c>
      <c r="D19" s="90" t="e">
        <f t="shared" ref="D19:N19" si="0">D17/D18*100</f>
        <v>#DIV/0!</v>
      </c>
      <c r="E19" s="90" t="e">
        <f t="shared" si="0"/>
        <v>#DIV/0!</v>
      </c>
      <c r="F19" s="90" t="e">
        <f t="shared" si="0"/>
        <v>#DIV/0!</v>
      </c>
      <c r="G19" s="90" t="e">
        <f t="shared" si="0"/>
        <v>#DIV/0!</v>
      </c>
      <c r="H19" s="90" t="e">
        <f t="shared" si="0"/>
        <v>#DIV/0!</v>
      </c>
      <c r="I19" s="90" t="e">
        <f t="shared" si="0"/>
        <v>#DIV/0!</v>
      </c>
      <c r="J19" s="90" t="e">
        <f t="shared" si="0"/>
        <v>#DIV/0!</v>
      </c>
      <c r="K19" s="90" t="e">
        <f t="shared" si="0"/>
        <v>#DIV/0!</v>
      </c>
      <c r="L19" s="90" t="e">
        <f t="shared" si="0"/>
        <v>#DIV/0!</v>
      </c>
      <c r="M19" s="90" t="e">
        <f t="shared" si="0"/>
        <v>#DIV/0!</v>
      </c>
      <c r="N19" s="90" t="e">
        <f t="shared" si="0"/>
        <v>#DIV/0!</v>
      </c>
      <c r="O19" s="90"/>
    </row>
    <row r="20" spans="2:15" ht="16.5" customHeight="1">
      <c r="B20" s="18" t="s">
        <v>165</v>
      </c>
      <c r="C20" s="100">
        <v>100</v>
      </c>
      <c r="D20" s="100">
        <v>100</v>
      </c>
      <c r="E20" s="100">
        <v>100</v>
      </c>
      <c r="F20" s="100">
        <v>100</v>
      </c>
      <c r="G20" s="100">
        <v>100</v>
      </c>
      <c r="H20" s="100">
        <v>100</v>
      </c>
      <c r="I20" s="100">
        <v>100</v>
      </c>
      <c r="J20" s="100">
        <v>100</v>
      </c>
      <c r="K20" s="100">
        <v>100</v>
      </c>
      <c r="L20" s="100">
        <v>100</v>
      </c>
      <c r="M20" s="100">
        <v>100</v>
      </c>
      <c r="N20" s="100">
        <v>100</v>
      </c>
      <c r="O20" s="85"/>
    </row>
    <row r="21" spans="2:15" ht="18" customHeight="1" thickBot="1">
      <c r="B21" s="222" t="s">
        <v>28</v>
      </c>
      <c r="C21" s="223"/>
      <c r="D21" s="223"/>
      <c r="E21" s="223"/>
      <c r="F21" s="223"/>
      <c r="G21" s="223"/>
      <c r="H21" s="223"/>
      <c r="I21" s="223"/>
      <c r="J21" s="223"/>
      <c r="K21" s="223"/>
      <c r="L21" s="223"/>
      <c r="M21" s="223"/>
      <c r="N21" s="223"/>
      <c r="O21" s="224"/>
    </row>
    <row r="22" spans="2:15" s="2" customFormat="1" ht="22.5" customHeight="1">
      <c r="B22" s="225"/>
      <c r="C22" s="225"/>
      <c r="D22" s="225"/>
      <c r="E22" s="225"/>
      <c r="F22" s="225"/>
      <c r="G22" s="225"/>
      <c r="H22" s="225"/>
      <c r="I22" s="225"/>
      <c r="J22" s="225"/>
      <c r="K22" s="225"/>
      <c r="L22" s="225"/>
      <c r="M22" s="225"/>
      <c r="N22" s="225"/>
      <c r="O22" s="225"/>
    </row>
    <row r="23" spans="2:15" s="2" customFormat="1" ht="22.5" customHeight="1">
      <c r="B23" s="226"/>
      <c r="C23" s="226"/>
      <c r="D23" s="226"/>
      <c r="E23" s="226"/>
      <c r="F23" s="226"/>
      <c r="G23" s="226"/>
      <c r="H23" s="226"/>
      <c r="I23" s="226"/>
      <c r="J23" s="226"/>
      <c r="K23" s="226"/>
      <c r="L23" s="226"/>
      <c r="M23" s="226"/>
      <c r="N23" s="226"/>
      <c r="O23" s="226"/>
    </row>
    <row r="24" spans="2:15" s="2" customFormat="1" ht="22.5" customHeight="1">
      <c r="B24" s="226"/>
      <c r="C24" s="226"/>
      <c r="D24" s="226"/>
      <c r="E24" s="226"/>
      <c r="F24" s="226"/>
      <c r="G24" s="226"/>
      <c r="H24" s="226"/>
      <c r="I24" s="226"/>
      <c r="J24" s="226"/>
      <c r="K24" s="226"/>
      <c r="L24" s="226"/>
      <c r="M24" s="226"/>
      <c r="N24" s="226"/>
      <c r="O24" s="226"/>
    </row>
    <row r="25" spans="2:15" s="2" customFormat="1" ht="22.5" customHeight="1">
      <c r="B25" s="226"/>
      <c r="C25" s="226"/>
      <c r="D25" s="226"/>
      <c r="E25" s="226"/>
      <c r="F25" s="226"/>
      <c r="G25" s="226"/>
      <c r="H25" s="226"/>
      <c r="I25" s="226"/>
      <c r="J25" s="226"/>
      <c r="K25" s="226"/>
      <c r="L25" s="226"/>
      <c r="M25" s="226"/>
      <c r="N25" s="226"/>
      <c r="O25" s="226"/>
    </row>
    <row r="26" spans="2:15" s="2" customFormat="1" ht="22.5" customHeight="1">
      <c r="B26" s="226"/>
      <c r="C26" s="226"/>
      <c r="D26" s="226"/>
      <c r="E26" s="226"/>
      <c r="F26" s="226"/>
      <c r="G26" s="226"/>
      <c r="H26" s="226"/>
      <c r="I26" s="226"/>
      <c r="J26" s="226"/>
      <c r="K26" s="226"/>
      <c r="L26" s="226"/>
      <c r="M26" s="226"/>
      <c r="N26" s="226"/>
      <c r="O26" s="226"/>
    </row>
    <row r="27" spans="2:15" ht="22.5" customHeight="1">
      <c r="B27" s="226"/>
      <c r="C27" s="226"/>
      <c r="D27" s="226"/>
      <c r="E27" s="226"/>
      <c r="F27" s="226"/>
      <c r="G27" s="226"/>
      <c r="H27" s="226"/>
      <c r="I27" s="226"/>
      <c r="J27" s="226"/>
      <c r="K27" s="226"/>
      <c r="L27" s="226"/>
      <c r="M27" s="226"/>
      <c r="N27" s="226"/>
      <c r="O27" s="226"/>
    </row>
    <row r="28" spans="2:15" ht="22.5" customHeight="1">
      <c r="B28" s="226"/>
      <c r="C28" s="226"/>
      <c r="D28" s="226"/>
      <c r="E28" s="226"/>
      <c r="F28" s="226"/>
      <c r="G28" s="226"/>
      <c r="H28" s="226"/>
      <c r="I28" s="226"/>
      <c r="J28" s="226"/>
      <c r="K28" s="226"/>
      <c r="L28" s="226"/>
      <c r="M28" s="226"/>
      <c r="N28" s="226"/>
      <c r="O28" s="226"/>
    </row>
    <row r="29" spans="2:15" ht="22.5" customHeight="1">
      <c r="B29" s="226"/>
      <c r="C29" s="226"/>
      <c r="D29" s="226"/>
      <c r="E29" s="226"/>
      <c r="F29" s="226"/>
      <c r="G29" s="226"/>
      <c r="H29" s="226"/>
      <c r="I29" s="226"/>
      <c r="J29" s="226"/>
      <c r="K29" s="226"/>
      <c r="L29" s="226"/>
      <c r="M29" s="226"/>
      <c r="N29" s="226"/>
      <c r="O29" s="226"/>
    </row>
    <row r="30" spans="2:15" ht="22.5" customHeight="1">
      <c r="B30" s="226"/>
      <c r="C30" s="226"/>
      <c r="D30" s="226"/>
      <c r="E30" s="226"/>
      <c r="F30" s="226"/>
      <c r="G30" s="226"/>
      <c r="H30" s="226"/>
      <c r="I30" s="226"/>
      <c r="J30" s="226"/>
      <c r="K30" s="226"/>
      <c r="L30" s="226"/>
      <c r="M30" s="226"/>
      <c r="N30" s="226"/>
      <c r="O30" s="226"/>
    </row>
    <row r="31" spans="2:15" ht="22.5" customHeight="1">
      <c r="B31" s="226"/>
      <c r="C31" s="226"/>
      <c r="D31" s="226"/>
      <c r="E31" s="226"/>
      <c r="F31" s="226"/>
      <c r="G31" s="226"/>
      <c r="H31" s="226"/>
      <c r="I31" s="226"/>
      <c r="J31" s="226"/>
      <c r="K31" s="226"/>
      <c r="L31" s="226"/>
      <c r="M31" s="226"/>
      <c r="N31" s="226"/>
      <c r="O31" s="226"/>
    </row>
    <row r="32" spans="2:15" ht="22.5" customHeight="1">
      <c r="B32" s="226"/>
      <c r="C32" s="226"/>
      <c r="D32" s="226"/>
      <c r="E32" s="226"/>
      <c r="F32" s="226"/>
      <c r="G32" s="226"/>
      <c r="H32" s="226"/>
      <c r="I32" s="226"/>
      <c r="J32" s="226"/>
      <c r="K32" s="226"/>
      <c r="L32" s="226"/>
      <c r="M32" s="226"/>
      <c r="N32" s="226"/>
      <c r="O32" s="226"/>
    </row>
    <row r="33" spans="2:15">
      <c r="B33" s="226"/>
      <c r="C33" s="226"/>
      <c r="D33" s="226"/>
      <c r="E33" s="226"/>
      <c r="F33" s="226"/>
      <c r="G33" s="226"/>
      <c r="H33" s="226"/>
      <c r="I33" s="226"/>
      <c r="J33" s="226"/>
      <c r="K33" s="226"/>
      <c r="L33" s="226"/>
      <c r="M33" s="226"/>
      <c r="N33" s="226"/>
      <c r="O33" s="226"/>
    </row>
    <row r="34" spans="2:15" ht="15" customHeight="1">
      <c r="B34" s="220" t="s">
        <v>207</v>
      </c>
      <c r="C34" s="220"/>
      <c r="D34" s="220"/>
      <c r="E34" s="220"/>
      <c r="F34" s="220"/>
      <c r="G34" s="220"/>
      <c r="H34" s="220"/>
      <c r="I34" s="220"/>
      <c r="J34" s="220"/>
      <c r="K34" s="220"/>
      <c r="L34" s="220"/>
      <c r="M34" s="220"/>
      <c r="N34" s="220"/>
      <c r="O34" s="220"/>
    </row>
    <row r="35" spans="2:15" ht="134.25" customHeight="1">
      <c r="B35" s="330"/>
      <c r="C35" s="331"/>
      <c r="D35" s="331"/>
      <c r="E35" s="331"/>
      <c r="F35" s="331"/>
      <c r="G35" s="331"/>
      <c r="H35" s="331"/>
      <c r="I35" s="331"/>
      <c r="J35" s="331"/>
      <c r="K35" s="331"/>
      <c r="L35" s="331"/>
      <c r="M35" s="331"/>
      <c r="N35" s="331"/>
      <c r="O35" s="332"/>
    </row>
  </sheetData>
  <sheetProtection pivotTables="0"/>
  <mergeCells count="35">
    <mergeCell ref="K4:O4"/>
    <mergeCell ref="B1:C3"/>
    <mergeCell ref="D1:K1"/>
    <mergeCell ref="L1:O3"/>
    <mergeCell ref="R1:S3"/>
    <mergeCell ref="T1:AB1"/>
    <mergeCell ref="AE1:AG1"/>
    <mergeCell ref="D2:K3"/>
    <mergeCell ref="T2:AB3"/>
    <mergeCell ref="AC2:AD2"/>
    <mergeCell ref="AE2:AG2"/>
    <mergeCell ref="AC3:AD3"/>
    <mergeCell ref="AE3:AG3"/>
    <mergeCell ref="AC1:AD1"/>
    <mergeCell ref="B5:C5"/>
    <mergeCell ref="D5:G5"/>
    <mergeCell ref="H5:I5"/>
    <mergeCell ref="J5:N5"/>
    <mergeCell ref="B8:D8"/>
    <mergeCell ref="E8:O8"/>
    <mergeCell ref="B7:D7"/>
    <mergeCell ref="E7:O7"/>
    <mergeCell ref="B9:D9"/>
    <mergeCell ref="E9:O9"/>
    <mergeCell ref="B10:D10"/>
    <mergeCell ref="E10:O10"/>
    <mergeCell ref="B22:O33"/>
    <mergeCell ref="B34:O34"/>
    <mergeCell ref="B35:O35"/>
    <mergeCell ref="B11:O11"/>
    <mergeCell ref="B12:O12"/>
    <mergeCell ref="B13:O13"/>
    <mergeCell ref="B14:O14"/>
    <mergeCell ref="B15:O15"/>
    <mergeCell ref="B21:O2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List!$G$2:$G$17</xm:f>
          </x14:formula1>
          <xm:sqref>D5:G5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G39"/>
  <sheetViews>
    <sheetView showGridLines="0" topLeftCell="A4" zoomScale="82" zoomScaleNormal="82" workbookViewId="0">
      <selection activeCell="K17" sqref="K17"/>
    </sheetView>
  </sheetViews>
  <sheetFormatPr baseColWidth="10" defaultColWidth="10.85546875" defaultRowHeight="15"/>
  <cols>
    <col min="1" max="5" width="15.7109375" customWidth="1"/>
    <col min="6" max="6" width="18.42578125" customWidth="1"/>
    <col min="7" max="7" width="20.85546875" customWidth="1"/>
    <col min="8" max="8" width="22.28515625" customWidth="1"/>
    <col min="9" max="9" width="23.7109375" customWidth="1"/>
  </cols>
  <sheetData>
    <row r="2" spans="1:7">
      <c r="A2" s="393"/>
      <c r="B2" s="393"/>
      <c r="C2" s="393"/>
      <c r="D2" s="393"/>
      <c r="E2" s="393"/>
      <c r="G2" s="135" t="s">
        <v>239</v>
      </c>
    </row>
    <row r="3" spans="1:7">
      <c r="A3" s="394"/>
      <c r="B3" s="394"/>
      <c r="C3" s="394"/>
      <c r="D3" s="394"/>
      <c r="E3" s="394"/>
    </row>
    <row r="4" spans="1:7" ht="76.5">
      <c r="A4" s="136" t="s">
        <v>240</v>
      </c>
      <c r="B4" s="136" t="s">
        <v>298</v>
      </c>
      <c r="C4" s="201" t="s">
        <v>297</v>
      </c>
    </row>
    <row r="5" spans="1:7" ht="16.5">
      <c r="A5" s="137" t="s">
        <v>241</v>
      </c>
      <c r="B5" s="138">
        <v>179</v>
      </c>
      <c r="C5" s="138">
        <v>15</v>
      </c>
    </row>
    <row r="6" spans="1:7" ht="16.5">
      <c r="A6" s="137" t="s">
        <v>242</v>
      </c>
      <c r="B6" s="138">
        <v>62</v>
      </c>
      <c r="C6" s="138">
        <v>64</v>
      </c>
    </row>
    <row r="7" spans="1:7" ht="16.5">
      <c r="A7" s="137" t="s">
        <v>243</v>
      </c>
      <c r="B7" s="138">
        <v>96</v>
      </c>
      <c r="C7" s="138">
        <v>89</v>
      </c>
    </row>
    <row r="8" spans="1:7" ht="20.25" customHeight="1">
      <c r="A8" s="137" t="s">
        <v>244</v>
      </c>
      <c r="B8" s="138">
        <v>193</v>
      </c>
      <c r="C8" s="138">
        <v>126</v>
      </c>
    </row>
    <row r="9" spans="1:7" ht="16.5">
      <c r="A9" s="137" t="s">
        <v>245</v>
      </c>
      <c r="B9" s="138">
        <v>72</v>
      </c>
      <c r="C9" s="138">
        <v>156</v>
      </c>
    </row>
    <row r="10" spans="1:7" ht="16.5">
      <c r="A10" s="137" t="s">
        <v>246</v>
      </c>
      <c r="B10" s="138">
        <v>95</v>
      </c>
      <c r="C10" s="138">
        <v>116</v>
      </c>
    </row>
    <row r="11" spans="1:7" ht="16.5">
      <c r="A11" s="137" t="s">
        <v>247</v>
      </c>
      <c r="B11" s="138">
        <v>52</v>
      </c>
      <c r="C11" s="138">
        <v>148</v>
      </c>
    </row>
    <row r="12" spans="1:7" ht="16.5">
      <c r="A12" s="137" t="s">
        <v>248</v>
      </c>
      <c r="B12" s="138">
        <v>166</v>
      </c>
      <c r="C12" s="138">
        <v>40</v>
      </c>
    </row>
    <row r="13" spans="1:7" ht="16.5">
      <c r="A13" s="137" t="s">
        <v>249</v>
      </c>
      <c r="B13" s="138"/>
      <c r="C13" s="138">
        <v>57</v>
      </c>
    </row>
    <row r="14" spans="1:7" ht="16.5">
      <c r="A14" s="137" t="s">
        <v>250</v>
      </c>
      <c r="B14" s="138"/>
      <c r="C14" s="138">
        <v>68</v>
      </c>
    </row>
    <row r="15" spans="1:7" ht="16.5">
      <c r="A15" s="137" t="s">
        <v>251</v>
      </c>
      <c r="B15" s="138"/>
      <c r="C15" s="138">
        <v>91</v>
      </c>
    </row>
    <row r="16" spans="1:7" ht="16.5">
      <c r="A16" s="137" t="s">
        <v>252</v>
      </c>
      <c r="B16" s="138"/>
      <c r="C16" s="138">
        <v>111</v>
      </c>
    </row>
    <row r="17" spans="1:7" ht="25.5">
      <c r="A17" s="139" t="s">
        <v>253</v>
      </c>
      <c r="B17" s="139">
        <f>SUM(B5:B16)</f>
        <v>915</v>
      </c>
      <c r="C17" s="139">
        <f>SUM(C5:C16)</f>
        <v>1081</v>
      </c>
    </row>
    <row r="24" spans="1:7" ht="18.75">
      <c r="A24" s="140"/>
      <c r="B24" s="141"/>
      <c r="C24" s="141"/>
      <c r="D24" s="141"/>
      <c r="E24" s="141"/>
      <c r="F24" s="141"/>
      <c r="G24" s="141"/>
    </row>
    <row r="25" spans="1:7" ht="18.75">
      <c r="A25" s="142"/>
    </row>
    <row r="26" spans="1:7">
      <c r="A26" s="143" t="s">
        <v>254</v>
      </c>
      <c r="B26" s="143" t="s">
        <v>255</v>
      </c>
      <c r="C26" s="143" t="s">
        <v>256</v>
      </c>
      <c r="D26" s="143" t="s">
        <v>257</v>
      </c>
      <c r="E26" s="143" t="s">
        <v>258</v>
      </c>
      <c r="F26" s="143" t="s">
        <v>259</v>
      </c>
      <c r="G26" s="143" t="s">
        <v>49</v>
      </c>
    </row>
    <row r="27" spans="1:7" ht="15.75">
      <c r="A27" t="s">
        <v>241</v>
      </c>
      <c r="B27" s="144">
        <v>57</v>
      </c>
      <c r="C27" s="144">
        <v>68</v>
      </c>
      <c r="D27" s="145">
        <f t="shared" ref="D27:D39" si="0">C27-B27</f>
        <v>11</v>
      </c>
      <c r="E27" s="146">
        <f t="shared" ref="E27:E39" si="1">D27*100</f>
        <v>1100</v>
      </c>
      <c r="F27" s="147">
        <f t="shared" ref="F27:F39" si="2">E27/B27</f>
        <v>19.298245614035089</v>
      </c>
      <c r="G27" s="148" t="str">
        <f t="shared" ref="G27:G39" si="3">IF(J385=B27,"ESTABLE", IF(C27&lt;B27,"BAJO",IF(C27&gt;B27,"AUMENTO")))</f>
        <v>AUMENTO</v>
      </c>
    </row>
    <row r="28" spans="1:7" ht="15.75">
      <c r="A28" t="s">
        <v>242</v>
      </c>
      <c r="B28" s="144">
        <v>4310</v>
      </c>
      <c r="C28" s="144">
        <v>4724</v>
      </c>
      <c r="D28" s="149">
        <f t="shared" si="0"/>
        <v>414</v>
      </c>
      <c r="E28" s="150">
        <f t="shared" si="1"/>
        <v>41400</v>
      </c>
      <c r="F28" s="151">
        <f t="shared" si="2"/>
        <v>9.6055684454756385</v>
      </c>
      <c r="G28" s="148" t="str">
        <f t="shared" si="3"/>
        <v>AUMENTO</v>
      </c>
    </row>
    <row r="29" spans="1:7" ht="15.75">
      <c r="A29" t="s">
        <v>243</v>
      </c>
      <c r="B29" s="144">
        <v>4276</v>
      </c>
      <c r="C29" s="144">
        <v>4983</v>
      </c>
      <c r="D29" s="145">
        <f t="shared" si="0"/>
        <v>707</v>
      </c>
      <c r="E29" s="146">
        <f t="shared" si="1"/>
        <v>70700</v>
      </c>
      <c r="F29" s="151">
        <f t="shared" si="2"/>
        <v>16.534144059869035</v>
      </c>
      <c r="G29" s="148" t="str">
        <f t="shared" si="3"/>
        <v>AUMENTO</v>
      </c>
    </row>
    <row r="30" spans="1:7" ht="15.75">
      <c r="A30" t="s">
        <v>244</v>
      </c>
      <c r="B30" s="144">
        <v>4422</v>
      </c>
      <c r="C30" s="144">
        <v>5149</v>
      </c>
      <c r="D30" s="149">
        <f t="shared" si="0"/>
        <v>727</v>
      </c>
      <c r="E30" s="150">
        <f t="shared" si="1"/>
        <v>72700</v>
      </c>
      <c r="F30" s="151">
        <f t="shared" si="2"/>
        <v>16.440524649479872</v>
      </c>
      <c r="G30" s="148" t="str">
        <f t="shared" si="3"/>
        <v>AUMENTO</v>
      </c>
    </row>
    <row r="31" spans="1:7" ht="15.75">
      <c r="A31" t="s">
        <v>245</v>
      </c>
      <c r="B31" s="144">
        <v>4652</v>
      </c>
      <c r="C31" s="144">
        <v>5187</v>
      </c>
      <c r="D31" s="145">
        <f t="shared" si="0"/>
        <v>535</v>
      </c>
      <c r="E31" s="146">
        <f t="shared" si="1"/>
        <v>53500</v>
      </c>
      <c r="F31" s="151">
        <f t="shared" si="2"/>
        <v>11.500429922613929</v>
      </c>
      <c r="G31" s="148" t="str">
        <f t="shared" si="3"/>
        <v>AUMENTO</v>
      </c>
    </row>
    <row r="32" spans="1:7" ht="15.75">
      <c r="A32" t="s">
        <v>246</v>
      </c>
      <c r="B32" s="144">
        <v>4441</v>
      </c>
      <c r="C32" s="144">
        <v>5209</v>
      </c>
      <c r="D32" s="149">
        <f t="shared" si="0"/>
        <v>768</v>
      </c>
      <c r="E32" s="150">
        <f t="shared" si="1"/>
        <v>76800</v>
      </c>
      <c r="F32" s="151">
        <f t="shared" si="2"/>
        <v>17.293402386849809</v>
      </c>
      <c r="G32" s="148" t="str">
        <f t="shared" si="3"/>
        <v>AUMENTO</v>
      </c>
    </row>
    <row r="33" spans="1:7" ht="15.75">
      <c r="A33" t="s">
        <v>247</v>
      </c>
      <c r="B33" s="144">
        <v>4365</v>
      </c>
      <c r="C33" s="144">
        <v>5313</v>
      </c>
      <c r="D33" s="145">
        <f t="shared" si="0"/>
        <v>948</v>
      </c>
      <c r="E33" s="146">
        <f t="shared" si="1"/>
        <v>94800</v>
      </c>
      <c r="F33" s="151">
        <f t="shared" si="2"/>
        <v>21.718213058419245</v>
      </c>
      <c r="G33" s="148" t="str">
        <f t="shared" si="3"/>
        <v>AUMENTO</v>
      </c>
    </row>
    <row r="34" spans="1:7" ht="15.75">
      <c r="A34" t="s">
        <v>248</v>
      </c>
      <c r="B34" s="144">
        <v>4383</v>
      </c>
      <c r="C34" s="144">
        <v>5454</v>
      </c>
      <c r="D34" s="149">
        <f t="shared" si="0"/>
        <v>1071</v>
      </c>
      <c r="E34" s="150">
        <f t="shared" si="1"/>
        <v>107100</v>
      </c>
      <c r="F34" s="151">
        <f t="shared" si="2"/>
        <v>24.435318275154003</v>
      </c>
      <c r="G34" s="148" t="str">
        <f t="shared" si="3"/>
        <v>AUMENTO</v>
      </c>
    </row>
    <row r="35" spans="1:7" ht="15.75">
      <c r="A35" t="s">
        <v>249</v>
      </c>
      <c r="B35" s="144">
        <v>4383</v>
      </c>
      <c r="C35" s="144">
        <v>5658</v>
      </c>
      <c r="D35" s="145">
        <f t="shared" si="0"/>
        <v>1275</v>
      </c>
      <c r="E35" s="146">
        <f t="shared" si="1"/>
        <v>127500</v>
      </c>
      <c r="F35" s="151">
        <f t="shared" si="2"/>
        <v>29.089664613278575</v>
      </c>
      <c r="G35" s="148" t="str">
        <f t="shared" si="3"/>
        <v>AUMENTO</v>
      </c>
    </row>
    <row r="36" spans="1:7" ht="15.75">
      <c r="A36" t="s">
        <v>250</v>
      </c>
      <c r="B36" s="144">
        <v>4855</v>
      </c>
      <c r="C36" s="144">
        <v>5888</v>
      </c>
      <c r="D36" s="149">
        <f t="shared" si="0"/>
        <v>1033</v>
      </c>
      <c r="E36" s="150">
        <f t="shared" si="1"/>
        <v>103300</v>
      </c>
      <c r="F36" s="151">
        <f t="shared" si="2"/>
        <v>21.277033985581873</v>
      </c>
      <c r="G36" s="148" t="str">
        <f t="shared" si="3"/>
        <v>AUMENTO</v>
      </c>
    </row>
    <row r="37" spans="1:7" ht="15.75">
      <c r="A37" t="s">
        <v>251</v>
      </c>
      <c r="B37" s="144">
        <v>4892</v>
      </c>
      <c r="C37" s="144">
        <v>6113</v>
      </c>
      <c r="D37" s="145">
        <f t="shared" si="0"/>
        <v>1221</v>
      </c>
      <c r="E37" s="146">
        <f t="shared" si="1"/>
        <v>122100</v>
      </c>
      <c r="F37" s="151">
        <f t="shared" si="2"/>
        <v>24.959116925592806</v>
      </c>
      <c r="G37" s="148" t="str">
        <f t="shared" si="3"/>
        <v>AUMENTO</v>
      </c>
    </row>
    <row r="38" spans="1:7" ht="15.75">
      <c r="A38" t="s">
        <v>252</v>
      </c>
      <c r="B38" s="144">
        <v>4960</v>
      </c>
      <c r="C38" s="144">
        <v>5042</v>
      </c>
      <c r="D38" s="145">
        <f t="shared" si="0"/>
        <v>82</v>
      </c>
      <c r="E38" s="146">
        <f t="shared" si="1"/>
        <v>8200</v>
      </c>
      <c r="F38" s="151">
        <f t="shared" si="2"/>
        <v>1.653225806451613</v>
      </c>
      <c r="G38" s="148" t="str">
        <f t="shared" si="3"/>
        <v>AUMENTO</v>
      </c>
    </row>
    <row r="39" spans="1:7" ht="15.75">
      <c r="A39" t="s">
        <v>260</v>
      </c>
      <c r="B39" s="152" t="e">
        <f>#REF!</f>
        <v>#REF!</v>
      </c>
      <c r="C39" s="152" t="e">
        <f>#REF!</f>
        <v>#REF!</v>
      </c>
      <c r="D39" s="153" t="e">
        <f t="shared" si="0"/>
        <v>#REF!</v>
      </c>
      <c r="E39" s="154" t="e">
        <f t="shared" si="1"/>
        <v>#REF!</v>
      </c>
      <c r="F39" s="155" t="e">
        <f t="shared" si="2"/>
        <v>#REF!</v>
      </c>
      <c r="G39" s="148" t="e">
        <f t="shared" si="3"/>
        <v>#REF!</v>
      </c>
    </row>
  </sheetData>
  <mergeCells count="1">
    <mergeCell ref="A2:E3"/>
  </mergeCells>
  <conditionalFormatting sqref="F27:F39">
    <cfRule type="cellIs" dxfId="3" priority="1" operator="between">
      <formula>-0.1</formula>
      <formula>-100</formula>
    </cfRule>
    <cfRule type="cellIs" dxfId="2" priority="2" operator="between">
      <formula>0.1</formula>
      <formula>500</formula>
    </cfRule>
    <cfRule type="cellIs" dxfId="1" priority="3" operator="between">
      <formula>0</formula>
      <formula>0</formula>
    </cfRule>
    <cfRule type="cellIs" dxfId="0" priority="4" operator="equal">
      <formula>"0.0"</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0">
    <tabColor rgb="FF92D050"/>
    <pageSetUpPr fitToPage="1"/>
  </sheetPr>
  <dimension ref="A1:R53"/>
  <sheetViews>
    <sheetView topLeftCell="A16" zoomScale="70" zoomScaleNormal="70" workbookViewId="0">
      <selection activeCell="O30" sqref="O30"/>
    </sheetView>
  </sheetViews>
  <sheetFormatPr baseColWidth="10" defaultColWidth="11.42578125" defaultRowHeight="12"/>
  <cols>
    <col min="1" max="1" width="1.140625" style="1" customWidth="1"/>
    <col min="2" max="2" width="11.42578125" style="1"/>
    <col min="3" max="3" width="66.7109375" style="1" bestFit="1" customWidth="1"/>
    <col min="4" max="4" width="49.85546875" style="1" customWidth="1"/>
    <col min="5" max="5" width="12.5703125" style="1" customWidth="1"/>
    <col min="6" max="12" width="9.140625" style="1" customWidth="1"/>
    <col min="13" max="13" width="10.5703125" style="1" customWidth="1"/>
    <col min="14" max="14" width="9.140625" style="1" customWidth="1"/>
    <col min="15" max="243" width="11.42578125" style="1"/>
    <col min="244" max="244" width="13.5703125" style="1" bestFit="1" customWidth="1"/>
    <col min="245" max="247" width="11.5703125" style="1" bestFit="1" customWidth="1"/>
    <col min="248" max="248" width="7.42578125" style="1" bestFit="1" customWidth="1"/>
    <col min="249" max="249" width="8.42578125" style="1" customWidth="1"/>
    <col min="250" max="250" width="11.85546875" style="1" bestFit="1" customWidth="1"/>
    <col min="251" max="256" width="8" style="1" bestFit="1" customWidth="1"/>
    <col min="257" max="257" width="3" style="1" customWidth="1"/>
    <col min="258" max="499" width="11.42578125" style="1"/>
    <col min="500" max="500" width="13.5703125" style="1" bestFit="1" customWidth="1"/>
    <col min="501" max="503" width="11.5703125" style="1" bestFit="1" customWidth="1"/>
    <col min="504" max="504" width="7.42578125" style="1" bestFit="1" customWidth="1"/>
    <col min="505" max="505" width="8.42578125" style="1" customWidth="1"/>
    <col min="506" max="506" width="11.85546875" style="1" bestFit="1" customWidth="1"/>
    <col min="507" max="512" width="8" style="1" bestFit="1" customWidth="1"/>
    <col min="513" max="513" width="3" style="1" customWidth="1"/>
    <col min="514" max="755" width="11.42578125" style="1"/>
    <col min="756" max="756" width="13.5703125" style="1" bestFit="1" customWidth="1"/>
    <col min="757" max="759" width="11.5703125" style="1" bestFit="1" customWidth="1"/>
    <col min="760" max="760" width="7.42578125" style="1" bestFit="1" customWidth="1"/>
    <col min="761" max="761" width="8.42578125" style="1" customWidth="1"/>
    <col min="762" max="762" width="11.85546875" style="1" bestFit="1" customWidth="1"/>
    <col min="763" max="768" width="8" style="1" bestFit="1" customWidth="1"/>
    <col min="769" max="769" width="3" style="1" customWidth="1"/>
    <col min="770" max="1011" width="11.42578125" style="1"/>
    <col min="1012" max="1012" width="13.5703125" style="1" bestFit="1" customWidth="1"/>
    <col min="1013" max="1015" width="11.5703125" style="1" bestFit="1" customWidth="1"/>
    <col min="1016" max="1016" width="7.42578125" style="1" bestFit="1" customWidth="1"/>
    <col min="1017" max="1017" width="8.42578125" style="1" customWidth="1"/>
    <col min="1018" max="1018" width="11.85546875" style="1" bestFit="1" customWidth="1"/>
    <col min="1019" max="1024" width="8" style="1" bestFit="1" customWidth="1"/>
    <col min="1025" max="1025" width="3" style="1" customWidth="1"/>
    <col min="1026" max="1267" width="11.42578125" style="1"/>
    <col min="1268" max="1268" width="13.5703125" style="1" bestFit="1" customWidth="1"/>
    <col min="1269" max="1271" width="11.5703125" style="1" bestFit="1" customWidth="1"/>
    <col min="1272" max="1272" width="7.42578125" style="1" bestFit="1" customWidth="1"/>
    <col min="1273" max="1273" width="8.42578125" style="1" customWidth="1"/>
    <col min="1274" max="1274" width="11.85546875" style="1" bestFit="1" customWidth="1"/>
    <col min="1275" max="1280" width="8" style="1" bestFit="1" customWidth="1"/>
    <col min="1281" max="1281" width="3" style="1" customWidth="1"/>
    <col min="1282" max="1523" width="11.42578125" style="1"/>
    <col min="1524" max="1524" width="13.5703125" style="1" bestFit="1" customWidth="1"/>
    <col min="1525" max="1527" width="11.5703125" style="1" bestFit="1" customWidth="1"/>
    <col min="1528" max="1528" width="7.42578125" style="1" bestFit="1" customWidth="1"/>
    <col min="1529" max="1529" width="8.42578125" style="1" customWidth="1"/>
    <col min="1530" max="1530" width="11.85546875" style="1" bestFit="1" customWidth="1"/>
    <col min="1531" max="1536" width="8" style="1" bestFit="1" customWidth="1"/>
    <col min="1537" max="1537" width="3" style="1" customWidth="1"/>
    <col min="1538" max="1779" width="11.42578125" style="1"/>
    <col min="1780" max="1780" width="13.5703125" style="1" bestFit="1" customWidth="1"/>
    <col min="1781" max="1783" width="11.5703125" style="1" bestFit="1" customWidth="1"/>
    <col min="1784" max="1784" width="7.42578125" style="1" bestFit="1" customWidth="1"/>
    <col min="1785" max="1785" width="8.42578125" style="1" customWidth="1"/>
    <col min="1786" max="1786" width="11.85546875" style="1" bestFit="1" customWidth="1"/>
    <col min="1787" max="1792" width="8" style="1" bestFit="1" customWidth="1"/>
    <col min="1793" max="1793" width="3" style="1" customWidth="1"/>
    <col min="1794" max="2035" width="11.42578125" style="1"/>
    <col min="2036" max="2036" width="13.5703125" style="1" bestFit="1" customWidth="1"/>
    <col min="2037" max="2039" width="11.5703125" style="1" bestFit="1" customWidth="1"/>
    <col min="2040" max="2040" width="7.42578125" style="1" bestFit="1" customWidth="1"/>
    <col min="2041" max="2041" width="8.42578125" style="1" customWidth="1"/>
    <col min="2042" max="2042" width="11.85546875" style="1" bestFit="1" customWidth="1"/>
    <col min="2043" max="2048" width="8" style="1" bestFit="1" customWidth="1"/>
    <col min="2049" max="2049" width="3" style="1" customWidth="1"/>
    <col min="2050" max="2291" width="11.42578125" style="1"/>
    <col min="2292" max="2292" width="13.5703125" style="1" bestFit="1" customWidth="1"/>
    <col min="2293" max="2295" width="11.5703125" style="1" bestFit="1" customWidth="1"/>
    <col min="2296" max="2296" width="7.42578125" style="1" bestFit="1" customWidth="1"/>
    <col min="2297" max="2297" width="8.42578125" style="1" customWidth="1"/>
    <col min="2298" max="2298" width="11.85546875" style="1" bestFit="1" customWidth="1"/>
    <col min="2299" max="2304" width="8" style="1" bestFit="1" customWidth="1"/>
    <col min="2305" max="2305" width="3" style="1" customWidth="1"/>
    <col min="2306" max="2547" width="11.42578125" style="1"/>
    <col min="2548" max="2548" width="13.5703125" style="1" bestFit="1" customWidth="1"/>
    <col min="2549" max="2551" width="11.5703125" style="1" bestFit="1" customWidth="1"/>
    <col min="2552" max="2552" width="7.42578125" style="1" bestFit="1" customWidth="1"/>
    <col min="2553" max="2553" width="8.42578125" style="1" customWidth="1"/>
    <col min="2554" max="2554" width="11.85546875" style="1" bestFit="1" customWidth="1"/>
    <col min="2555" max="2560" width="8" style="1" bestFit="1" customWidth="1"/>
    <col min="2561" max="2561" width="3" style="1" customWidth="1"/>
    <col min="2562" max="2803" width="11.42578125" style="1"/>
    <col min="2804" max="2804" width="13.5703125" style="1" bestFit="1" customWidth="1"/>
    <col min="2805" max="2807" width="11.5703125" style="1" bestFit="1" customWidth="1"/>
    <col min="2808" max="2808" width="7.42578125" style="1" bestFit="1" customWidth="1"/>
    <col min="2809" max="2809" width="8.42578125" style="1" customWidth="1"/>
    <col min="2810" max="2810" width="11.85546875" style="1" bestFit="1" customWidth="1"/>
    <col min="2811" max="2816" width="8" style="1" bestFit="1" customWidth="1"/>
    <col min="2817" max="2817" width="3" style="1" customWidth="1"/>
    <col min="2818" max="3059" width="11.42578125" style="1"/>
    <col min="3060" max="3060" width="13.5703125" style="1" bestFit="1" customWidth="1"/>
    <col min="3061" max="3063" width="11.5703125" style="1" bestFit="1" customWidth="1"/>
    <col min="3064" max="3064" width="7.42578125" style="1" bestFit="1" customWidth="1"/>
    <col min="3065" max="3065" width="8.42578125" style="1" customWidth="1"/>
    <col min="3066" max="3066" width="11.85546875" style="1" bestFit="1" customWidth="1"/>
    <col min="3067" max="3072" width="8" style="1" bestFit="1" customWidth="1"/>
    <col min="3073" max="3073" width="3" style="1" customWidth="1"/>
    <col min="3074" max="3315" width="11.42578125" style="1"/>
    <col min="3316" max="3316" width="13.5703125" style="1" bestFit="1" customWidth="1"/>
    <col min="3317" max="3319" width="11.5703125" style="1" bestFit="1" customWidth="1"/>
    <col min="3320" max="3320" width="7.42578125" style="1" bestFit="1" customWidth="1"/>
    <col min="3321" max="3321" width="8.42578125" style="1" customWidth="1"/>
    <col min="3322" max="3322" width="11.85546875" style="1" bestFit="1" customWidth="1"/>
    <col min="3323" max="3328" width="8" style="1" bestFit="1" customWidth="1"/>
    <col min="3329" max="3329" width="3" style="1" customWidth="1"/>
    <col min="3330" max="3571" width="11.42578125" style="1"/>
    <col min="3572" max="3572" width="13.5703125" style="1" bestFit="1" customWidth="1"/>
    <col min="3573" max="3575" width="11.5703125" style="1" bestFit="1" customWidth="1"/>
    <col min="3576" max="3576" width="7.42578125" style="1" bestFit="1" customWidth="1"/>
    <col min="3577" max="3577" width="8.42578125" style="1" customWidth="1"/>
    <col min="3578" max="3578" width="11.85546875" style="1" bestFit="1" customWidth="1"/>
    <col min="3579" max="3584" width="8" style="1" bestFit="1" customWidth="1"/>
    <col min="3585" max="3585" width="3" style="1" customWidth="1"/>
    <col min="3586" max="3827" width="11.42578125" style="1"/>
    <col min="3828" max="3828" width="13.5703125" style="1" bestFit="1" customWidth="1"/>
    <col min="3829" max="3831" width="11.5703125" style="1" bestFit="1" customWidth="1"/>
    <col min="3832" max="3832" width="7.42578125" style="1" bestFit="1" customWidth="1"/>
    <col min="3833" max="3833" width="8.42578125" style="1" customWidth="1"/>
    <col min="3834" max="3834" width="11.85546875" style="1" bestFit="1" customWidth="1"/>
    <col min="3835" max="3840" width="8" style="1" bestFit="1" customWidth="1"/>
    <col min="3841" max="3841" width="3" style="1" customWidth="1"/>
    <col min="3842" max="4083" width="11.42578125" style="1"/>
    <col min="4084" max="4084" width="13.5703125" style="1" bestFit="1" customWidth="1"/>
    <col min="4085" max="4087" width="11.5703125" style="1" bestFit="1" customWidth="1"/>
    <col min="4088" max="4088" width="7.42578125" style="1" bestFit="1" customWidth="1"/>
    <col min="4089" max="4089" width="8.42578125" style="1" customWidth="1"/>
    <col min="4090" max="4090" width="11.85546875" style="1" bestFit="1" customWidth="1"/>
    <col min="4091" max="4096" width="8" style="1" bestFit="1" customWidth="1"/>
    <col min="4097" max="4097" width="3" style="1" customWidth="1"/>
    <col min="4098" max="4339" width="11.42578125" style="1"/>
    <col min="4340" max="4340" width="13.5703125" style="1" bestFit="1" customWidth="1"/>
    <col min="4341" max="4343" width="11.5703125" style="1" bestFit="1" customWidth="1"/>
    <col min="4344" max="4344" width="7.42578125" style="1" bestFit="1" customWidth="1"/>
    <col min="4345" max="4345" width="8.42578125" style="1" customWidth="1"/>
    <col min="4346" max="4346" width="11.85546875" style="1" bestFit="1" customWidth="1"/>
    <col min="4347" max="4352" width="8" style="1" bestFit="1" customWidth="1"/>
    <col min="4353" max="4353" width="3" style="1" customWidth="1"/>
    <col min="4354" max="4595" width="11.42578125" style="1"/>
    <col min="4596" max="4596" width="13.5703125" style="1" bestFit="1" customWidth="1"/>
    <col min="4597" max="4599" width="11.5703125" style="1" bestFit="1" customWidth="1"/>
    <col min="4600" max="4600" width="7.42578125" style="1" bestFit="1" customWidth="1"/>
    <col min="4601" max="4601" width="8.42578125" style="1" customWidth="1"/>
    <col min="4602" max="4602" width="11.85546875" style="1" bestFit="1" customWidth="1"/>
    <col min="4603" max="4608" width="8" style="1" bestFit="1" customWidth="1"/>
    <col min="4609" max="4609" width="3" style="1" customWidth="1"/>
    <col min="4610" max="4851" width="11.42578125" style="1"/>
    <col min="4852" max="4852" width="13.5703125" style="1" bestFit="1" customWidth="1"/>
    <col min="4853" max="4855" width="11.5703125" style="1" bestFit="1" customWidth="1"/>
    <col min="4856" max="4856" width="7.42578125" style="1" bestFit="1" customWidth="1"/>
    <col min="4857" max="4857" width="8.42578125" style="1" customWidth="1"/>
    <col min="4858" max="4858" width="11.85546875" style="1" bestFit="1" customWidth="1"/>
    <col min="4859" max="4864" width="8" style="1" bestFit="1" customWidth="1"/>
    <col min="4865" max="4865" width="3" style="1" customWidth="1"/>
    <col min="4866" max="5107" width="11.42578125" style="1"/>
    <col min="5108" max="5108" width="13.5703125" style="1" bestFit="1" customWidth="1"/>
    <col min="5109" max="5111" width="11.5703125" style="1" bestFit="1" customWidth="1"/>
    <col min="5112" max="5112" width="7.42578125" style="1" bestFit="1" customWidth="1"/>
    <col min="5113" max="5113" width="8.42578125" style="1" customWidth="1"/>
    <col min="5114" max="5114" width="11.85546875" style="1" bestFit="1" customWidth="1"/>
    <col min="5115" max="5120" width="8" style="1" bestFit="1" customWidth="1"/>
    <col min="5121" max="5121" width="3" style="1" customWidth="1"/>
    <col min="5122" max="5363" width="11.42578125" style="1"/>
    <col min="5364" max="5364" width="13.5703125" style="1" bestFit="1" customWidth="1"/>
    <col min="5365" max="5367" width="11.5703125" style="1" bestFit="1" customWidth="1"/>
    <col min="5368" max="5368" width="7.42578125" style="1" bestFit="1" customWidth="1"/>
    <col min="5369" max="5369" width="8.42578125" style="1" customWidth="1"/>
    <col min="5370" max="5370" width="11.85546875" style="1" bestFit="1" customWidth="1"/>
    <col min="5371" max="5376" width="8" style="1" bestFit="1" customWidth="1"/>
    <col min="5377" max="5377" width="3" style="1" customWidth="1"/>
    <col min="5378" max="5619" width="11.42578125" style="1"/>
    <col min="5620" max="5620" width="13.5703125" style="1" bestFit="1" customWidth="1"/>
    <col min="5621" max="5623" width="11.5703125" style="1" bestFit="1" customWidth="1"/>
    <col min="5624" max="5624" width="7.42578125" style="1" bestFit="1" customWidth="1"/>
    <col min="5625" max="5625" width="8.42578125" style="1" customWidth="1"/>
    <col min="5626" max="5626" width="11.85546875" style="1" bestFit="1" customWidth="1"/>
    <col min="5627" max="5632" width="8" style="1" bestFit="1" customWidth="1"/>
    <col min="5633" max="5633" width="3" style="1" customWidth="1"/>
    <col min="5634" max="5875" width="11.42578125" style="1"/>
    <col min="5876" max="5876" width="13.5703125" style="1" bestFit="1" customWidth="1"/>
    <col min="5877" max="5879" width="11.5703125" style="1" bestFit="1" customWidth="1"/>
    <col min="5880" max="5880" width="7.42578125" style="1" bestFit="1" customWidth="1"/>
    <col min="5881" max="5881" width="8.42578125" style="1" customWidth="1"/>
    <col min="5882" max="5882" width="11.85546875" style="1" bestFit="1" customWidth="1"/>
    <col min="5883" max="5888" width="8" style="1" bestFit="1" customWidth="1"/>
    <col min="5889" max="5889" width="3" style="1" customWidth="1"/>
    <col min="5890" max="6131" width="11.42578125" style="1"/>
    <col min="6132" max="6132" width="13.5703125" style="1" bestFit="1" customWidth="1"/>
    <col min="6133" max="6135" width="11.5703125" style="1" bestFit="1" customWidth="1"/>
    <col min="6136" max="6136" width="7.42578125" style="1" bestFit="1" customWidth="1"/>
    <col min="6137" max="6137" width="8.42578125" style="1" customWidth="1"/>
    <col min="6138" max="6138" width="11.85546875" style="1" bestFit="1" customWidth="1"/>
    <col min="6139" max="6144" width="8" style="1" bestFit="1" customWidth="1"/>
    <col min="6145" max="6145" width="3" style="1" customWidth="1"/>
    <col min="6146" max="6387" width="11.42578125" style="1"/>
    <col min="6388" max="6388" width="13.5703125" style="1" bestFit="1" customWidth="1"/>
    <col min="6389" max="6391" width="11.5703125" style="1" bestFit="1" customWidth="1"/>
    <col min="6392" max="6392" width="7.42578125" style="1" bestFit="1" customWidth="1"/>
    <col min="6393" max="6393" width="8.42578125" style="1" customWidth="1"/>
    <col min="6394" max="6394" width="11.85546875" style="1" bestFit="1" customWidth="1"/>
    <col min="6395" max="6400" width="8" style="1" bestFit="1" customWidth="1"/>
    <col min="6401" max="6401" width="3" style="1" customWidth="1"/>
    <col min="6402" max="6643" width="11.42578125" style="1"/>
    <col min="6644" max="6644" width="13.5703125" style="1" bestFit="1" customWidth="1"/>
    <col min="6645" max="6647" width="11.5703125" style="1" bestFit="1" customWidth="1"/>
    <col min="6648" max="6648" width="7.42578125" style="1" bestFit="1" customWidth="1"/>
    <col min="6649" max="6649" width="8.42578125" style="1" customWidth="1"/>
    <col min="6650" max="6650" width="11.85546875" style="1" bestFit="1" customWidth="1"/>
    <col min="6651" max="6656" width="8" style="1" bestFit="1" customWidth="1"/>
    <col min="6657" max="6657" width="3" style="1" customWidth="1"/>
    <col min="6658" max="6899" width="11.42578125" style="1"/>
    <col min="6900" max="6900" width="13.5703125" style="1" bestFit="1" customWidth="1"/>
    <col min="6901" max="6903" width="11.5703125" style="1" bestFit="1" customWidth="1"/>
    <col min="6904" max="6904" width="7.42578125" style="1" bestFit="1" customWidth="1"/>
    <col min="6905" max="6905" width="8.42578125" style="1" customWidth="1"/>
    <col min="6906" max="6906" width="11.85546875" style="1" bestFit="1" customWidth="1"/>
    <col min="6907" max="6912" width="8" style="1" bestFit="1" customWidth="1"/>
    <col min="6913" max="6913" width="3" style="1" customWidth="1"/>
    <col min="6914" max="7155" width="11.42578125" style="1"/>
    <col min="7156" max="7156" width="13.5703125" style="1" bestFit="1" customWidth="1"/>
    <col min="7157" max="7159" width="11.5703125" style="1" bestFit="1" customWidth="1"/>
    <col min="7160" max="7160" width="7.42578125" style="1" bestFit="1" customWidth="1"/>
    <col min="7161" max="7161" width="8.42578125" style="1" customWidth="1"/>
    <col min="7162" max="7162" width="11.85546875" style="1" bestFit="1" customWidth="1"/>
    <col min="7163" max="7168" width="8" style="1" bestFit="1" customWidth="1"/>
    <col min="7169" max="7169" width="3" style="1" customWidth="1"/>
    <col min="7170" max="7411" width="11.42578125" style="1"/>
    <col min="7412" max="7412" width="13.5703125" style="1" bestFit="1" customWidth="1"/>
    <col min="7413" max="7415" width="11.5703125" style="1" bestFit="1" customWidth="1"/>
    <col min="7416" max="7416" width="7.42578125" style="1" bestFit="1" customWidth="1"/>
    <col min="7417" max="7417" width="8.42578125" style="1" customWidth="1"/>
    <col min="7418" max="7418" width="11.85546875" style="1" bestFit="1" customWidth="1"/>
    <col min="7419" max="7424" width="8" style="1" bestFit="1" customWidth="1"/>
    <col min="7425" max="7425" width="3" style="1" customWidth="1"/>
    <col min="7426" max="7667" width="11.42578125" style="1"/>
    <col min="7668" max="7668" width="13.5703125" style="1" bestFit="1" customWidth="1"/>
    <col min="7669" max="7671" width="11.5703125" style="1" bestFit="1" customWidth="1"/>
    <col min="7672" max="7672" width="7.42578125" style="1" bestFit="1" customWidth="1"/>
    <col min="7673" max="7673" width="8.42578125" style="1" customWidth="1"/>
    <col min="7674" max="7674" width="11.85546875" style="1" bestFit="1" customWidth="1"/>
    <col min="7675" max="7680" width="8" style="1" bestFit="1" customWidth="1"/>
    <col min="7681" max="7681" width="3" style="1" customWidth="1"/>
    <col min="7682" max="7923" width="11.42578125" style="1"/>
    <col min="7924" max="7924" width="13.5703125" style="1" bestFit="1" customWidth="1"/>
    <col min="7925" max="7927" width="11.5703125" style="1" bestFit="1" customWidth="1"/>
    <col min="7928" max="7928" width="7.42578125" style="1" bestFit="1" customWidth="1"/>
    <col min="7929" max="7929" width="8.42578125" style="1" customWidth="1"/>
    <col min="7930" max="7930" width="11.85546875" style="1" bestFit="1" customWidth="1"/>
    <col min="7931" max="7936" width="8" style="1" bestFit="1" customWidth="1"/>
    <col min="7937" max="7937" width="3" style="1" customWidth="1"/>
    <col min="7938" max="8179" width="11.42578125" style="1"/>
    <col min="8180" max="8180" width="13.5703125" style="1" bestFit="1" customWidth="1"/>
    <col min="8181" max="8183" width="11.5703125" style="1" bestFit="1" customWidth="1"/>
    <col min="8184" max="8184" width="7.42578125" style="1" bestFit="1" customWidth="1"/>
    <col min="8185" max="8185" width="8.42578125" style="1" customWidth="1"/>
    <col min="8186" max="8186" width="11.85546875" style="1" bestFit="1" customWidth="1"/>
    <col min="8187" max="8192" width="8" style="1" bestFit="1" customWidth="1"/>
    <col min="8193" max="8193" width="3" style="1" customWidth="1"/>
    <col min="8194" max="8435" width="11.42578125" style="1"/>
    <col min="8436" max="8436" width="13.5703125" style="1" bestFit="1" customWidth="1"/>
    <col min="8437" max="8439" width="11.5703125" style="1" bestFit="1" customWidth="1"/>
    <col min="8440" max="8440" width="7.42578125" style="1" bestFit="1" customWidth="1"/>
    <col min="8441" max="8441" width="8.42578125" style="1" customWidth="1"/>
    <col min="8442" max="8442" width="11.85546875" style="1" bestFit="1" customWidth="1"/>
    <col min="8443" max="8448" width="8" style="1" bestFit="1" customWidth="1"/>
    <col min="8449" max="8449" width="3" style="1" customWidth="1"/>
    <col min="8450" max="8691" width="11.42578125" style="1"/>
    <col min="8692" max="8692" width="13.5703125" style="1" bestFit="1" customWidth="1"/>
    <col min="8693" max="8695" width="11.5703125" style="1" bestFit="1" customWidth="1"/>
    <col min="8696" max="8696" width="7.42578125" style="1" bestFit="1" customWidth="1"/>
    <col min="8697" max="8697" width="8.42578125" style="1" customWidth="1"/>
    <col min="8698" max="8698" width="11.85546875" style="1" bestFit="1" customWidth="1"/>
    <col min="8699" max="8704" width="8" style="1" bestFit="1" customWidth="1"/>
    <col min="8705" max="8705" width="3" style="1" customWidth="1"/>
    <col min="8706" max="8947" width="11.42578125" style="1"/>
    <col min="8948" max="8948" width="13.5703125" style="1" bestFit="1" customWidth="1"/>
    <col min="8949" max="8951" width="11.5703125" style="1" bestFit="1" customWidth="1"/>
    <col min="8952" max="8952" width="7.42578125" style="1" bestFit="1" customWidth="1"/>
    <col min="8953" max="8953" width="8.42578125" style="1" customWidth="1"/>
    <col min="8954" max="8954" width="11.85546875" style="1" bestFit="1" customWidth="1"/>
    <col min="8955" max="8960" width="8" style="1" bestFit="1" customWidth="1"/>
    <col min="8961" max="8961" width="3" style="1" customWidth="1"/>
    <col min="8962" max="9203" width="11.42578125" style="1"/>
    <col min="9204" max="9204" width="13.5703125" style="1" bestFit="1" customWidth="1"/>
    <col min="9205" max="9207" width="11.5703125" style="1" bestFit="1" customWidth="1"/>
    <col min="9208" max="9208" width="7.42578125" style="1" bestFit="1" customWidth="1"/>
    <col min="9209" max="9209" width="8.42578125" style="1" customWidth="1"/>
    <col min="9210" max="9210" width="11.85546875" style="1" bestFit="1" customWidth="1"/>
    <col min="9211" max="9216" width="8" style="1" bestFit="1" customWidth="1"/>
    <col min="9217" max="9217" width="3" style="1" customWidth="1"/>
    <col min="9218" max="9459" width="11.42578125" style="1"/>
    <col min="9460" max="9460" width="13.5703125" style="1" bestFit="1" customWidth="1"/>
    <col min="9461" max="9463" width="11.5703125" style="1" bestFit="1" customWidth="1"/>
    <col min="9464" max="9464" width="7.42578125" style="1" bestFit="1" customWidth="1"/>
    <col min="9465" max="9465" width="8.42578125" style="1" customWidth="1"/>
    <col min="9466" max="9466" width="11.85546875" style="1" bestFit="1" customWidth="1"/>
    <col min="9467" max="9472" width="8" style="1" bestFit="1" customWidth="1"/>
    <col min="9473" max="9473" width="3" style="1" customWidth="1"/>
    <col min="9474" max="9715" width="11.42578125" style="1"/>
    <col min="9716" max="9716" width="13.5703125" style="1" bestFit="1" customWidth="1"/>
    <col min="9717" max="9719" width="11.5703125" style="1" bestFit="1" customWidth="1"/>
    <col min="9720" max="9720" width="7.42578125" style="1" bestFit="1" customWidth="1"/>
    <col min="9721" max="9721" width="8.42578125" style="1" customWidth="1"/>
    <col min="9722" max="9722" width="11.85546875" style="1" bestFit="1" customWidth="1"/>
    <col min="9723" max="9728" width="8" style="1" bestFit="1" customWidth="1"/>
    <col min="9729" max="9729" width="3" style="1" customWidth="1"/>
    <col min="9730" max="9971" width="11.42578125" style="1"/>
    <col min="9972" max="9972" width="13.5703125" style="1" bestFit="1" customWidth="1"/>
    <col min="9973" max="9975" width="11.5703125" style="1" bestFit="1" customWidth="1"/>
    <col min="9976" max="9976" width="7.42578125" style="1" bestFit="1" customWidth="1"/>
    <col min="9977" max="9977" width="8.42578125" style="1" customWidth="1"/>
    <col min="9978" max="9978" width="11.85546875" style="1" bestFit="1" customWidth="1"/>
    <col min="9979" max="9984" width="8" style="1" bestFit="1" customWidth="1"/>
    <col min="9985" max="9985" width="3" style="1" customWidth="1"/>
    <col min="9986" max="10227" width="11.42578125" style="1"/>
    <col min="10228" max="10228" width="13.5703125" style="1" bestFit="1" customWidth="1"/>
    <col min="10229" max="10231" width="11.5703125" style="1" bestFit="1" customWidth="1"/>
    <col min="10232" max="10232" width="7.42578125" style="1" bestFit="1" customWidth="1"/>
    <col min="10233" max="10233" width="8.42578125" style="1" customWidth="1"/>
    <col min="10234" max="10234" width="11.85546875" style="1" bestFit="1" customWidth="1"/>
    <col min="10235" max="10240" width="8" style="1" bestFit="1" customWidth="1"/>
    <col min="10241" max="10241" width="3" style="1" customWidth="1"/>
    <col min="10242" max="10483" width="11.42578125" style="1"/>
    <col min="10484" max="10484" width="13.5703125" style="1" bestFit="1" customWidth="1"/>
    <col min="10485" max="10487" width="11.5703125" style="1" bestFit="1" customWidth="1"/>
    <col min="10488" max="10488" width="7.42578125" style="1" bestFit="1" customWidth="1"/>
    <col min="10489" max="10489" width="8.42578125" style="1" customWidth="1"/>
    <col min="10490" max="10490" width="11.85546875" style="1" bestFit="1" customWidth="1"/>
    <col min="10491" max="10496" width="8" style="1" bestFit="1" customWidth="1"/>
    <col min="10497" max="10497" width="3" style="1" customWidth="1"/>
    <col min="10498" max="10739" width="11.42578125" style="1"/>
    <col min="10740" max="10740" width="13.5703125" style="1" bestFit="1" customWidth="1"/>
    <col min="10741" max="10743" width="11.5703125" style="1" bestFit="1" customWidth="1"/>
    <col min="10744" max="10744" width="7.42578125" style="1" bestFit="1" customWidth="1"/>
    <col min="10745" max="10745" width="8.42578125" style="1" customWidth="1"/>
    <col min="10746" max="10746" width="11.85546875" style="1" bestFit="1" customWidth="1"/>
    <col min="10747" max="10752" width="8" style="1" bestFit="1" customWidth="1"/>
    <col min="10753" max="10753" width="3" style="1" customWidth="1"/>
    <col min="10754" max="10995" width="11.42578125" style="1"/>
    <col min="10996" max="10996" width="13.5703125" style="1" bestFit="1" customWidth="1"/>
    <col min="10997" max="10999" width="11.5703125" style="1" bestFit="1" customWidth="1"/>
    <col min="11000" max="11000" width="7.42578125" style="1" bestFit="1" customWidth="1"/>
    <col min="11001" max="11001" width="8.42578125" style="1" customWidth="1"/>
    <col min="11002" max="11002" width="11.85546875" style="1" bestFit="1" customWidth="1"/>
    <col min="11003" max="11008" width="8" style="1" bestFit="1" customWidth="1"/>
    <col min="11009" max="11009" width="3" style="1" customWidth="1"/>
    <col min="11010" max="11251" width="11.42578125" style="1"/>
    <col min="11252" max="11252" width="13.5703125" style="1" bestFit="1" customWidth="1"/>
    <col min="11253" max="11255" width="11.5703125" style="1" bestFit="1" customWidth="1"/>
    <col min="11256" max="11256" width="7.42578125" style="1" bestFit="1" customWidth="1"/>
    <col min="11257" max="11257" width="8.42578125" style="1" customWidth="1"/>
    <col min="11258" max="11258" width="11.85546875" style="1" bestFit="1" customWidth="1"/>
    <col min="11259" max="11264" width="8" style="1" bestFit="1" customWidth="1"/>
    <col min="11265" max="11265" width="3" style="1" customWidth="1"/>
    <col min="11266" max="11507" width="11.42578125" style="1"/>
    <col min="11508" max="11508" width="13.5703125" style="1" bestFit="1" customWidth="1"/>
    <col min="11509" max="11511" width="11.5703125" style="1" bestFit="1" customWidth="1"/>
    <col min="11512" max="11512" width="7.42578125" style="1" bestFit="1" customWidth="1"/>
    <col min="11513" max="11513" width="8.42578125" style="1" customWidth="1"/>
    <col min="11514" max="11514" width="11.85546875" style="1" bestFit="1" customWidth="1"/>
    <col min="11515" max="11520" width="8" style="1" bestFit="1" customWidth="1"/>
    <col min="11521" max="11521" width="3" style="1" customWidth="1"/>
    <col min="11522" max="11763" width="11.42578125" style="1"/>
    <col min="11764" max="11764" width="13.5703125" style="1" bestFit="1" customWidth="1"/>
    <col min="11765" max="11767" width="11.5703125" style="1" bestFit="1" customWidth="1"/>
    <col min="11768" max="11768" width="7.42578125" style="1" bestFit="1" customWidth="1"/>
    <col min="11769" max="11769" width="8.42578125" style="1" customWidth="1"/>
    <col min="11770" max="11770" width="11.85546875" style="1" bestFit="1" customWidth="1"/>
    <col min="11771" max="11776" width="8" style="1" bestFit="1" customWidth="1"/>
    <col min="11777" max="11777" width="3" style="1" customWidth="1"/>
    <col min="11778" max="12019" width="11.42578125" style="1"/>
    <col min="12020" max="12020" width="13.5703125" style="1" bestFit="1" customWidth="1"/>
    <col min="12021" max="12023" width="11.5703125" style="1" bestFit="1" customWidth="1"/>
    <col min="12024" max="12024" width="7.42578125" style="1" bestFit="1" customWidth="1"/>
    <col min="12025" max="12025" width="8.42578125" style="1" customWidth="1"/>
    <col min="12026" max="12026" width="11.85546875" style="1" bestFit="1" customWidth="1"/>
    <col min="12027" max="12032" width="8" style="1" bestFit="1" customWidth="1"/>
    <col min="12033" max="12033" width="3" style="1" customWidth="1"/>
    <col min="12034" max="12275" width="11.42578125" style="1"/>
    <col min="12276" max="12276" width="13.5703125" style="1" bestFit="1" customWidth="1"/>
    <col min="12277" max="12279" width="11.5703125" style="1" bestFit="1" customWidth="1"/>
    <col min="12280" max="12280" width="7.42578125" style="1" bestFit="1" customWidth="1"/>
    <col min="12281" max="12281" width="8.42578125" style="1" customWidth="1"/>
    <col min="12282" max="12282" width="11.85546875" style="1" bestFit="1" customWidth="1"/>
    <col min="12283" max="12288" width="8" style="1" bestFit="1" customWidth="1"/>
    <col min="12289" max="12289" width="3" style="1" customWidth="1"/>
    <col min="12290" max="12531" width="11.42578125" style="1"/>
    <col min="12532" max="12532" width="13.5703125" style="1" bestFit="1" customWidth="1"/>
    <col min="12533" max="12535" width="11.5703125" style="1" bestFit="1" customWidth="1"/>
    <col min="12536" max="12536" width="7.42578125" style="1" bestFit="1" customWidth="1"/>
    <col min="12537" max="12537" width="8.42578125" style="1" customWidth="1"/>
    <col min="12538" max="12538" width="11.85546875" style="1" bestFit="1" customWidth="1"/>
    <col min="12539" max="12544" width="8" style="1" bestFit="1" customWidth="1"/>
    <col min="12545" max="12545" width="3" style="1" customWidth="1"/>
    <col min="12546" max="12787" width="11.42578125" style="1"/>
    <col min="12788" max="12788" width="13.5703125" style="1" bestFit="1" customWidth="1"/>
    <col min="12789" max="12791" width="11.5703125" style="1" bestFit="1" customWidth="1"/>
    <col min="12792" max="12792" width="7.42578125" style="1" bestFit="1" customWidth="1"/>
    <col min="12793" max="12793" width="8.42578125" style="1" customWidth="1"/>
    <col min="12794" max="12794" width="11.85546875" style="1" bestFit="1" customWidth="1"/>
    <col min="12795" max="12800" width="8" style="1" bestFit="1" customWidth="1"/>
    <col min="12801" max="12801" width="3" style="1" customWidth="1"/>
    <col min="12802" max="13043" width="11.42578125" style="1"/>
    <col min="13044" max="13044" width="13.5703125" style="1" bestFit="1" customWidth="1"/>
    <col min="13045" max="13047" width="11.5703125" style="1" bestFit="1" customWidth="1"/>
    <col min="13048" max="13048" width="7.42578125" style="1" bestFit="1" customWidth="1"/>
    <col min="13049" max="13049" width="8.42578125" style="1" customWidth="1"/>
    <col min="13050" max="13050" width="11.85546875" style="1" bestFit="1" customWidth="1"/>
    <col min="13051" max="13056" width="8" style="1" bestFit="1" customWidth="1"/>
    <col min="13057" max="13057" width="3" style="1" customWidth="1"/>
    <col min="13058" max="13299" width="11.42578125" style="1"/>
    <col min="13300" max="13300" width="13.5703125" style="1" bestFit="1" customWidth="1"/>
    <col min="13301" max="13303" width="11.5703125" style="1" bestFit="1" customWidth="1"/>
    <col min="13304" max="13304" width="7.42578125" style="1" bestFit="1" customWidth="1"/>
    <col min="13305" max="13305" width="8.42578125" style="1" customWidth="1"/>
    <col min="13306" max="13306" width="11.85546875" style="1" bestFit="1" customWidth="1"/>
    <col min="13307" max="13312" width="8" style="1" bestFit="1" customWidth="1"/>
    <col min="13313" max="13313" width="3" style="1" customWidth="1"/>
    <col min="13314" max="13555" width="11.42578125" style="1"/>
    <col min="13556" max="13556" width="13.5703125" style="1" bestFit="1" customWidth="1"/>
    <col min="13557" max="13559" width="11.5703125" style="1" bestFit="1" customWidth="1"/>
    <col min="13560" max="13560" width="7.42578125" style="1" bestFit="1" customWidth="1"/>
    <col min="13561" max="13561" width="8.42578125" style="1" customWidth="1"/>
    <col min="13562" max="13562" width="11.85546875" style="1" bestFit="1" customWidth="1"/>
    <col min="13563" max="13568" width="8" style="1" bestFit="1" customWidth="1"/>
    <col min="13569" max="13569" width="3" style="1" customWidth="1"/>
    <col min="13570" max="13811" width="11.42578125" style="1"/>
    <col min="13812" max="13812" width="13.5703125" style="1" bestFit="1" customWidth="1"/>
    <col min="13813" max="13815" width="11.5703125" style="1" bestFit="1" customWidth="1"/>
    <col min="13816" max="13816" width="7.42578125" style="1" bestFit="1" customWidth="1"/>
    <col min="13817" max="13817" width="8.42578125" style="1" customWidth="1"/>
    <col min="13818" max="13818" width="11.85546875" style="1" bestFit="1" customWidth="1"/>
    <col min="13819" max="13824" width="8" style="1" bestFit="1" customWidth="1"/>
    <col min="13825" max="13825" width="3" style="1" customWidth="1"/>
    <col min="13826" max="14067" width="11.42578125" style="1"/>
    <col min="14068" max="14068" width="13.5703125" style="1" bestFit="1" customWidth="1"/>
    <col min="14069" max="14071" width="11.5703125" style="1" bestFit="1" customWidth="1"/>
    <col min="14072" max="14072" width="7.42578125" style="1" bestFit="1" customWidth="1"/>
    <col min="14073" max="14073" width="8.42578125" style="1" customWidth="1"/>
    <col min="14074" max="14074" width="11.85546875" style="1" bestFit="1" customWidth="1"/>
    <col min="14075" max="14080" width="8" style="1" bestFit="1" customWidth="1"/>
    <col min="14081" max="14081" width="3" style="1" customWidth="1"/>
    <col min="14082" max="14323" width="11.42578125" style="1"/>
    <col min="14324" max="14324" width="13.5703125" style="1" bestFit="1" customWidth="1"/>
    <col min="14325" max="14327" width="11.5703125" style="1" bestFit="1" customWidth="1"/>
    <col min="14328" max="14328" width="7.42578125" style="1" bestFit="1" customWidth="1"/>
    <col min="14329" max="14329" width="8.42578125" style="1" customWidth="1"/>
    <col min="14330" max="14330" width="11.85546875" style="1" bestFit="1" customWidth="1"/>
    <col min="14331" max="14336" width="8" style="1" bestFit="1" customWidth="1"/>
    <col min="14337" max="14337" width="3" style="1" customWidth="1"/>
    <col min="14338" max="14579" width="11.42578125" style="1"/>
    <col min="14580" max="14580" width="13.5703125" style="1" bestFit="1" customWidth="1"/>
    <col min="14581" max="14583" width="11.5703125" style="1" bestFit="1" customWidth="1"/>
    <col min="14584" max="14584" width="7.42578125" style="1" bestFit="1" customWidth="1"/>
    <col min="14585" max="14585" width="8.42578125" style="1" customWidth="1"/>
    <col min="14586" max="14586" width="11.85546875" style="1" bestFit="1" customWidth="1"/>
    <col min="14587" max="14592" width="8" style="1" bestFit="1" customWidth="1"/>
    <col min="14593" max="14593" width="3" style="1" customWidth="1"/>
    <col min="14594" max="14835" width="11.42578125" style="1"/>
    <col min="14836" max="14836" width="13.5703125" style="1" bestFit="1" customWidth="1"/>
    <col min="14837" max="14839" width="11.5703125" style="1" bestFit="1" customWidth="1"/>
    <col min="14840" max="14840" width="7.42578125" style="1" bestFit="1" customWidth="1"/>
    <col min="14841" max="14841" width="8.42578125" style="1" customWidth="1"/>
    <col min="14842" max="14842" width="11.85546875" style="1" bestFit="1" customWidth="1"/>
    <col min="14843" max="14848" width="8" style="1" bestFit="1" customWidth="1"/>
    <col min="14849" max="14849" width="3" style="1" customWidth="1"/>
    <col min="14850" max="15091" width="11.42578125" style="1"/>
    <col min="15092" max="15092" width="13.5703125" style="1" bestFit="1" customWidth="1"/>
    <col min="15093" max="15095" width="11.5703125" style="1" bestFit="1" customWidth="1"/>
    <col min="15096" max="15096" width="7.42578125" style="1" bestFit="1" customWidth="1"/>
    <col min="15097" max="15097" width="8.42578125" style="1" customWidth="1"/>
    <col min="15098" max="15098" width="11.85546875" style="1" bestFit="1" customWidth="1"/>
    <col min="15099" max="15104" width="8" style="1" bestFit="1" customWidth="1"/>
    <col min="15105" max="15105" width="3" style="1" customWidth="1"/>
    <col min="15106" max="15347" width="11.42578125" style="1"/>
    <col min="15348" max="15348" width="13.5703125" style="1" bestFit="1" customWidth="1"/>
    <col min="15349" max="15351" width="11.5703125" style="1" bestFit="1" customWidth="1"/>
    <col min="15352" max="15352" width="7.42578125" style="1" bestFit="1" customWidth="1"/>
    <col min="15353" max="15353" width="8.42578125" style="1" customWidth="1"/>
    <col min="15354" max="15354" width="11.85546875" style="1" bestFit="1" customWidth="1"/>
    <col min="15355" max="15360" width="8" style="1" bestFit="1" customWidth="1"/>
    <col min="15361" max="15361" width="3" style="1" customWidth="1"/>
    <col min="15362" max="15603" width="11.42578125" style="1"/>
    <col min="15604" max="15604" width="13.5703125" style="1" bestFit="1" customWidth="1"/>
    <col min="15605" max="15607" width="11.5703125" style="1" bestFit="1" customWidth="1"/>
    <col min="15608" max="15608" width="7.42578125" style="1" bestFit="1" customWidth="1"/>
    <col min="15609" max="15609" width="8.42578125" style="1" customWidth="1"/>
    <col min="15610" max="15610" width="11.85546875" style="1" bestFit="1" customWidth="1"/>
    <col min="15611" max="15616" width="8" style="1" bestFit="1" customWidth="1"/>
    <col min="15617" max="15617" width="3" style="1" customWidth="1"/>
    <col min="15618" max="15859" width="11.42578125" style="1"/>
    <col min="15860" max="15860" width="13.5703125" style="1" bestFit="1" customWidth="1"/>
    <col min="15861" max="15863" width="11.5703125" style="1" bestFit="1" customWidth="1"/>
    <col min="15864" max="15864" width="7.42578125" style="1" bestFit="1" customWidth="1"/>
    <col min="15865" max="15865" width="8.42578125" style="1" customWidth="1"/>
    <col min="15866" max="15866" width="11.85546875" style="1" bestFit="1" customWidth="1"/>
    <col min="15867" max="15872" width="8" style="1" bestFit="1" customWidth="1"/>
    <col min="15873" max="15873" width="3" style="1" customWidth="1"/>
    <col min="15874" max="16115" width="11.42578125" style="1"/>
    <col min="16116" max="16116" width="13.5703125" style="1" bestFit="1" customWidth="1"/>
    <col min="16117" max="16119" width="11.5703125" style="1" bestFit="1" customWidth="1"/>
    <col min="16120" max="16120" width="7.42578125" style="1" bestFit="1" customWidth="1"/>
    <col min="16121" max="16121" width="8.42578125" style="1" customWidth="1"/>
    <col min="16122" max="16122" width="11.85546875" style="1" bestFit="1" customWidth="1"/>
    <col min="16123" max="16128" width="8" style="1" bestFit="1" customWidth="1"/>
    <col min="16129" max="16129" width="3" style="1" customWidth="1"/>
    <col min="16130" max="16384" width="11.42578125" style="1"/>
  </cols>
  <sheetData>
    <row r="1" spans="2:18" ht="12.75" customHeight="1">
      <c r="B1" s="2"/>
      <c r="C1" s="307"/>
      <c r="D1" s="307"/>
      <c r="E1" s="307"/>
      <c r="F1" s="307"/>
      <c r="G1" s="307"/>
      <c r="H1" s="307"/>
      <c r="I1" s="307"/>
      <c r="J1" s="307"/>
      <c r="K1" s="307"/>
      <c r="L1" s="307"/>
      <c r="M1" s="307"/>
      <c r="N1" s="296"/>
      <c r="O1" s="296"/>
      <c r="P1" s="283"/>
      <c r="Q1" s="283"/>
      <c r="R1" s="283"/>
    </row>
    <row r="2" spans="2:18" ht="12.75" customHeight="1">
      <c r="B2" s="2"/>
      <c r="C2" s="307"/>
      <c r="D2" s="307"/>
      <c r="E2" s="307"/>
      <c r="F2" s="307"/>
      <c r="G2" s="307"/>
      <c r="H2" s="307"/>
      <c r="I2" s="307"/>
      <c r="J2" s="307"/>
      <c r="K2" s="307"/>
      <c r="L2" s="307"/>
      <c r="M2" s="307"/>
      <c r="N2" s="296"/>
      <c r="O2" s="296"/>
      <c r="P2" s="283"/>
      <c r="Q2" s="283"/>
      <c r="R2" s="283"/>
    </row>
    <row r="3" spans="2:18" ht="12.75" customHeight="1">
      <c r="B3" s="2"/>
      <c r="C3" s="307"/>
      <c r="D3" s="307"/>
      <c r="E3" s="307"/>
      <c r="F3" s="307"/>
      <c r="G3" s="307"/>
      <c r="H3" s="307"/>
      <c r="I3" s="307"/>
      <c r="J3" s="307"/>
      <c r="K3" s="307"/>
      <c r="L3" s="307"/>
      <c r="M3" s="307"/>
      <c r="N3" s="296"/>
      <c r="O3" s="296"/>
      <c r="P3" s="282"/>
      <c r="Q3" s="283"/>
      <c r="R3" s="283"/>
    </row>
    <row r="4" spans="2:18" ht="12.75" customHeight="1"/>
    <row r="5" spans="2:18" ht="15" customHeight="1">
      <c r="C5" s="159"/>
      <c r="D5" s="160"/>
      <c r="E5"/>
    </row>
    <row r="6" spans="2:18" ht="14.25" customHeight="1">
      <c r="B6" s="2"/>
      <c r="C6" s="396"/>
      <c r="D6" s="396"/>
      <c r="E6"/>
    </row>
    <row r="7" spans="2:18" ht="24" customHeight="1">
      <c r="C7" s="396"/>
      <c r="D7" s="396"/>
      <c r="E7"/>
    </row>
    <row r="8" spans="2:18" ht="42.75" customHeight="1">
      <c r="C8" s="397" t="s">
        <v>280</v>
      </c>
      <c r="D8" s="397"/>
      <c r="E8" s="188" t="s">
        <v>281</v>
      </c>
    </row>
    <row r="9" spans="2:18" ht="57" customHeight="1">
      <c r="C9" s="398" t="s">
        <v>332</v>
      </c>
      <c r="D9" s="398"/>
      <c r="E9" s="185">
        <v>30</v>
      </c>
    </row>
    <row r="10" spans="2:18" ht="42" customHeight="1">
      <c r="C10" s="398" t="s">
        <v>333</v>
      </c>
      <c r="D10" s="398"/>
      <c r="E10" s="185">
        <v>30</v>
      </c>
    </row>
    <row r="11" spans="2:18" ht="45.75" customHeight="1">
      <c r="C11" s="398" t="s">
        <v>334</v>
      </c>
      <c r="D11" s="398"/>
      <c r="E11" s="185">
        <v>30</v>
      </c>
    </row>
    <row r="12" spans="2:18" s="3" customFormat="1" ht="39" customHeight="1">
      <c r="C12" s="395"/>
      <c r="D12" s="395"/>
      <c r="E12" s="185"/>
    </row>
    <row r="13" spans="2:18" s="3" customFormat="1" ht="39" customHeight="1">
      <c r="C13" s="395"/>
      <c r="D13" s="395"/>
      <c r="E13" s="185"/>
    </row>
    <row r="14" spans="2:18" ht="39" customHeight="1">
      <c r="C14" s="395"/>
      <c r="D14" s="395"/>
      <c r="E14" s="185"/>
    </row>
    <row r="15" spans="2:18" ht="16.5" customHeight="1"/>
    <row r="16" spans="2:18" ht="25.5" customHeight="1"/>
    <row r="17" spans="3:4" ht="15.75" customHeight="1"/>
    <row r="18" spans="3:4" ht="25.5" customHeight="1"/>
    <row r="19" spans="3:4" ht="16.5" customHeight="1"/>
    <row r="20" spans="3:4" ht="33" customHeight="1">
      <c r="C20" s="182" t="s">
        <v>273</v>
      </c>
      <c r="D20" s="182" t="s">
        <v>274</v>
      </c>
    </row>
    <row r="21" spans="3:4" ht="23.25" customHeight="1">
      <c r="C21" s="177" t="s">
        <v>329</v>
      </c>
      <c r="D21" s="180">
        <v>10</v>
      </c>
    </row>
    <row r="22" spans="3:4" ht="23.25" customHeight="1">
      <c r="C22" s="177" t="s">
        <v>299</v>
      </c>
      <c r="D22" s="180">
        <v>10</v>
      </c>
    </row>
    <row r="23" spans="3:4" s="4" customFormat="1" ht="30" customHeight="1">
      <c r="C23" s="177"/>
      <c r="D23" s="181"/>
    </row>
    <row r="24" spans="3:4" ht="27.75" customHeight="1">
      <c r="C24" s="177"/>
      <c r="D24" s="181"/>
    </row>
    <row r="25" spans="3:4" s="2" customFormat="1" ht="20.25" customHeight="1">
      <c r="C25" s="177"/>
      <c r="D25" s="181"/>
    </row>
    <row r="26" spans="3:4" s="2" customFormat="1" ht="30" customHeight="1">
      <c r="C26" s="177"/>
      <c r="D26" s="177"/>
    </row>
    <row r="27" spans="3:4" s="2" customFormat="1" ht="22.5" customHeight="1">
      <c r="C27" s="177"/>
      <c r="D27" s="179"/>
    </row>
    <row r="28" spans="3:4" ht="27.75" customHeight="1">
      <c r="C28" s="177"/>
      <c r="D28" s="181"/>
    </row>
    <row r="29" spans="3:4" ht="18" customHeight="1">
      <c r="C29" s="177"/>
      <c r="D29" s="181"/>
    </row>
    <row r="30" spans="3:4" ht="32.25" customHeight="1">
      <c r="C30" s="177"/>
      <c r="D30" s="179"/>
    </row>
    <row r="31" spans="3:4" ht="20.25" customHeight="1">
      <c r="C31" s="177"/>
      <c r="D31" s="181"/>
    </row>
    <row r="32" spans="3:4" ht="26.25" customHeight="1">
      <c r="C32" s="177"/>
      <c r="D32" s="181"/>
    </row>
    <row r="33" spans="1:14" ht="25.5" customHeight="1">
      <c r="C33" s="177"/>
      <c r="D33" s="181"/>
    </row>
    <row r="34" spans="1:14" ht="25.5" customHeight="1">
      <c r="C34" s="177"/>
      <c r="D34" s="181"/>
    </row>
    <row r="35" spans="1:14" ht="25.5" customHeight="1">
      <c r="C35" s="177"/>
      <c r="D35" s="177"/>
    </row>
    <row r="36" spans="1:14" ht="25.5" customHeight="1">
      <c r="C36" s="177"/>
      <c r="D36" s="181"/>
    </row>
    <row r="37" spans="1:14" ht="25.5" customHeight="1">
      <c r="C37" s="177"/>
      <c r="D37" s="181"/>
    </row>
    <row r="38" spans="1:14" ht="25.5" customHeight="1">
      <c r="C38" s="177"/>
      <c r="D38" s="181"/>
    </row>
    <row r="39" spans="1:14" ht="25.5" customHeight="1">
      <c r="C39" s="177"/>
      <c r="D39" s="179"/>
    </row>
    <row r="40" spans="1:14" ht="25.5" customHeight="1">
      <c r="C40" s="178"/>
      <c r="D40" s="180"/>
    </row>
    <row r="41" spans="1:14" ht="25.5" customHeight="1">
      <c r="C41" s="177"/>
      <c r="D41" s="181"/>
    </row>
    <row r="42" spans="1:14" ht="25.5" customHeight="1">
      <c r="C42" s="178"/>
      <c r="D42" s="179"/>
    </row>
    <row r="43" spans="1:14" ht="24.75" customHeight="1"/>
    <row r="44" spans="1:14" ht="24.75" customHeight="1"/>
    <row r="45" spans="1:14" ht="36.75" customHeight="1">
      <c r="B45" s="1">
        <v>2025</v>
      </c>
      <c r="C45" s="174"/>
      <c r="D45" s="174"/>
      <c r="E45" s="174"/>
      <c r="F45" s="175">
        <v>126</v>
      </c>
      <c r="G45" s="175">
        <v>156</v>
      </c>
      <c r="H45" s="175">
        <v>116</v>
      </c>
      <c r="I45" s="175">
        <v>148</v>
      </c>
      <c r="J45" s="175">
        <v>40</v>
      </c>
      <c r="K45" s="175">
        <v>57</v>
      </c>
      <c r="L45" s="175">
        <v>68</v>
      </c>
      <c r="M45" s="175">
        <v>91</v>
      </c>
      <c r="N45" s="174"/>
    </row>
    <row r="46" spans="1:14" ht="36" customHeight="1">
      <c r="B46" s="1">
        <v>2024</v>
      </c>
      <c r="C46" s="111">
        <v>162</v>
      </c>
      <c r="D46" s="111">
        <v>116</v>
      </c>
      <c r="E46" s="111">
        <v>103</v>
      </c>
      <c r="F46" s="111">
        <v>120</v>
      </c>
      <c r="G46" s="111">
        <v>180</v>
      </c>
      <c r="H46" s="111">
        <v>175</v>
      </c>
      <c r="I46" s="111">
        <v>191</v>
      </c>
      <c r="J46" s="111">
        <v>194</v>
      </c>
      <c r="K46" s="111">
        <v>125</v>
      </c>
      <c r="L46" s="111">
        <v>112</v>
      </c>
      <c r="M46" s="111"/>
      <c r="N46" s="111"/>
    </row>
    <row r="47" spans="1:14" ht="36" customHeight="1">
      <c r="A47" s="1">
        <v>1</v>
      </c>
      <c r="B47" s="1">
        <v>2023</v>
      </c>
      <c r="C47" s="113">
        <v>106</v>
      </c>
      <c r="D47" s="113">
        <v>158</v>
      </c>
      <c r="E47" s="113">
        <v>149</v>
      </c>
      <c r="F47" s="113">
        <v>161</v>
      </c>
      <c r="G47" s="113">
        <v>153</v>
      </c>
      <c r="H47" s="113">
        <v>129</v>
      </c>
      <c r="I47" s="113">
        <v>127</v>
      </c>
      <c r="J47" s="113">
        <v>109</v>
      </c>
      <c r="K47" s="114">
        <v>112</v>
      </c>
      <c r="L47" s="114">
        <v>112</v>
      </c>
      <c r="M47" s="114">
        <v>81</v>
      </c>
      <c r="N47" s="114">
        <v>76</v>
      </c>
    </row>
    <row r="48" spans="1:14" ht="47.25" customHeight="1"/>
    <row r="49" spans="7:7" ht="43.5" customHeight="1"/>
    <row r="50" spans="7:7" ht="97.5" customHeight="1">
      <c r="G50" s="1">
        <v>2024</v>
      </c>
    </row>
    <row r="51" spans="7:7" ht="99.75" customHeight="1">
      <c r="G51" s="111">
        <v>162</v>
      </c>
    </row>
    <row r="52" spans="7:7" ht="72.75" customHeight="1"/>
    <row r="53" spans="7:7" ht="75.75" customHeight="1"/>
  </sheetData>
  <sheetProtection pivotTables="0"/>
  <sortState xmlns:xlrd2="http://schemas.microsoft.com/office/spreadsheetml/2017/richdata2" ref="C9:E14">
    <sortCondition ref="D21:D42"/>
  </sortState>
  <mergeCells count="18">
    <mergeCell ref="N3:O3"/>
    <mergeCell ref="C1:D3"/>
    <mergeCell ref="E1:M1"/>
    <mergeCell ref="P3:R3"/>
    <mergeCell ref="N1:O1"/>
    <mergeCell ref="P1:R1"/>
    <mergeCell ref="E2:M3"/>
    <mergeCell ref="N2:O2"/>
    <mergeCell ref="P2:R2"/>
    <mergeCell ref="C12:D12"/>
    <mergeCell ref="C13:D13"/>
    <mergeCell ref="C14:D14"/>
    <mergeCell ref="C6:D6"/>
    <mergeCell ref="C7:D7"/>
    <mergeCell ref="C8:D8"/>
    <mergeCell ref="C9:D9"/>
    <mergeCell ref="C11:D11"/>
    <mergeCell ref="C10:D10"/>
  </mergeCells>
  <pageMargins left="0.7" right="0.7" top="0.75" bottom="0.75" header="0.3" footer="0.3"/>
  <pageSetup scale="53" fitToWidth="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31"/>
  <sheetViews>
    <sheetView tabSelected="1" topLeftCell="D23" zoomScale="80" zoomScaleNormal="80" workbookViewId="0">
      <selection activeCell="E21" sqref="E21:J25"/>
    </sheetView>
  </sheetViews>
  <sheetFormatPr baseColWidth="10" defaultRowHeight="15"/>
  <cols>
    <col min="4" max="4" width="7.140625" customWidth="1"/>
    <col min="5" max="5" width="37.85546875" customWidth="1"/>
    <col min="6" max="6" width="17.85546875" customWidth="1"/>
    <col min="7" max="7" width="30.28515625" customWidth="1"/>
    <col min="8" max="8" width="27.5703125" hidden="1" customWidth="1"/>
    <col min="9" max="9" width="37" customWidth="1"/>
    <col min="10" max="10" width="78.28515625" customWidth="1"/>
    <col min="11" max="15" width="11.42578125" customWidth="1"/>
    <col min="17" max="17" width="11.42578125" customWidth="1"/>
  </cols>
  <sheetData>
    <row r="1" spans="5:18">
      <c r="E1" t="s">
        <v>151</v>
      </c>
      <c r="F1" t="e">
        <v>#REF!</v>
      </c>
      <c r="G1" t="e">
        <v>#REF!</v>
      </c>
      <c r="H1" t="e">
        <v>#REF!</v>
      </c>
      <c r="J1" t="e">
        <v>#REF!</v>
      </c>
      <c r="K1" t="e">
        <v>#REF!</v>
      </c>
      <c r="L1" t="e">
        <v>#REF!</v>
      </c>
      <c r="M1" t="e">
        <v>#REF!</v>
      </c>
      <c r="N1" t="e">
        <v>#REF!</v>
      </c>
      <c r="O1" t="e">
        <v>#REF!</v>
      </c>
      <c r="P1" t="e">
        <v>#REF!</v>
      </c>
      <c r="Q1" t="e">
        <v>#REF!</v>
      </c>
      <c r="R1" t="e">
        <v>#REF!</v>
      </c>
    </row>
    <row r="14" spans="5:18" ht="28.5" customHeight="1">
      <c r="E14" s="202" t="s">
        <v>267</v>
      </c>
      <c r="F14" s="202" t="s">
        <v>301</v>
      </c>
      <c r="G14" s="202" t="s">
        <v>300</v>
      </c>
      <c r="H14" s="202" t="s">
        <v>302</v>
      </c>
      <c r="I14" s="202" t="s">
        <v>305</v>
      </c>
      <c r="J14" s="202" t="s">
        <v>268</v>
      </c>
    </row>
    <row r="15" spans="5:18" s="49" customFormat="1" ht="92.25" customHeight="1">
      <c r="E15" s="187" t="s">
        <v>303</v>
      </c>
      <c r="F15" s="186">
        <v>1102354699</v>
      </c>
      <c r="G15" s="189" t="s">
        <v>304</v>
      </c>
      <c r="H15" s="189" t="s">
        <v>310</v>
      </c>
      <c r="I15" s="189" t="s">
        <v>306</v>
      </c>
      <c r="J15" s="203"/>
    </row>
    <row r="16" spans="5:18" s="49" customFormat="1" ht="63.75" customHeight="1">
      <c r="E16" s="187" t="s">
        <v>307</v>
      </c>
      <c r="F16" s="186">
        <v>1096183241</v>
      </c>
      <c r="G16" s="189" t="s">
        <v>304</v>
      </c>
      <c r="H16" s="189" t="s">
        <v>308</v>
      </c>
      <c r="I16" s="189" t="s">
        <v>306</v>
      </c>
      <c r="J16" s="204"/>
    </row>
    <row r="17" spans="2:10" s="49" customFormat="1" ht="57" customHeight="1">
      <c r="E17" s="187" t="s">
        <v>309</v>
      </c>
      <c r="F17" s="186">
        <v>91185598</v>
      </c>
      <c r="G17" s="189" t="s">
        <v>304</v>
      </c>
      <c r="H17" s="189" t="s">
        <v>308</v>
      </c>
      <c r="I17" s="189" t="s">
        <v>306</v>
      </c>
      <c r="J17" s="205"/>
    </row>
    <row r="18" spans="2:10" s="49" customFormat="1" ht="117" customHeight="1">
      <c r="E18" s="187" t="s">
        <v>312</v>
      </c>
      <c r="F18" s="186">
        <v>91536229</v>
      </c>
      <c r="G18" s="189" t="s">
        <v>304</v>
      </c>
      <c r="H18" s="189" t="s">
        <v>308</v>
      </c>
      <c r="I18" s="189" t="s">
        <v>306</v>
      </c>
      <c r="J18" s="205"/>
    </row>
    <row r="19" spans="2:10" s="49" customFormat="1" ht="57" customHeight="1">
      <c r="E19" s="187" t="s">
        <v>311</v>
      </c>
      <c r="F19" s="186">
        <v>1098797707</v>
      </c>
      <c r="G19" s="189" t="s">
        <v>304</v>
      </c>
      <c r="H19" s="189" t="s">
        <v>310</v>
      </c>
      <c r="I19" s="189" t="s">
        <v>306</v>
      </c>
      <c r="J19" s="205"/>
    </row>
    <row r="20" spans="2:10" ht="40.5" customHeight="1">
      <c r="E20" s="187"/>
      <c r="F20" s="206"/>
      <c r="G20" s="186"/>
      <c r="H20" s="189"/>
      <c r="I20" s="189"/>
      <c r="J20" s="190"/>
    </row>
    <row r="21" spans="2:10" ht="26.25" customHeight="1">
      <c r="E21" s="202" t="s">
        <v>267</v>
      </c>
      <c r="F21" s="202" t="s">
        <v>315</v>
      </c>
      <c r="G21" s="202" t="s">
        <v>314</v>
      </c>
      <c r="H21" s="202" t="s">
        <v>313</v>
      </c>
      <c r="I21" s="202" t="s">
        <v>305</v>
      </c>
      <c r="J21" s="202" t="s">
        <v>268</v>
      </c>
    </row>
    <row r="22" spans="2:10" ht="110.25" customHeight="1">
      <c r="E22" s="187" t="s">
        <v>316</v>
      </c>
      <c r="F22" s="186">
        <v>1149687009</v>
      </c>
      <c r="G22" s="189" t="s">
        <v>317</v>
      </c>
      <c r="H22" s="189" t="s">
        <v>318</v>
      </c>
      <c r="I22" s="207">
        <v>0</v>
      </c>
      <c r="J22" s="203" t="s">
        <v>335</v>
      </c>
    </row>
    <row r="23" spans="2:10" ht="129" customHeight="1">
      <c r="B23" s="99"/>
      <c r="E23" s="187" t="s">
        <v>319</v>
      </c>
      <c r="F23" s="186">
        <v>12748783</v>
      </c>
      <c r="G23" s="189" t="s">
        <v>320</v>
      </c>
      <c r="H23" s="189" t="s">
        <v>318</v>
      </c>
      <c r="I23" s="207">
        <v>0</v>
      </c>
      <c r="J23" s="204" t="s">
        <v>336</v>
      </c>
    </row>
    <row r="24" spans="2:10" ht="129" customHeight="1">
      <c r="B24" s="399"/>
      <c r="E24" s="187" t="s">
        <v>327</v>
      </c>
      <c r="F24" s="186">
        <v>1061435198</v>
      </c>
      <c r="G24" s="189" t="s">
        <v>317</v>
      </c>
      <c r="H24" s="189"/>
      <c r="I24" s="207">
        <v>0</v>
      </c>
      <c r="J24" s="204" t="s">
        <v>338</v>
      </c>
    </row>
    <row r="25" spans="2:10" ht="90.75" customHeight="1">
      <c r="E25" s="191" t="s">
        <v>323</v>
      </c>
      <c r="F25" s="186">
        <v>76046337</v>
      </c>
      <c r="G25" s="189" t="s">
        <v>317</v>
      </c>
      <c r="H25" s="189" t="s">
        <v>322</v>
      </c>
      <c r="I25" s="189" t="s">
        <v>321</v>
      </c>
      <c r="J25" s="205" t="s">
        <v>337</v>
      </c>
    </row>
    <row r="27" spans="2:10">
      <c r="E27" s="202" t="s">
        <v>267</v>
      </c>
      <c r="F27" s="202" t="s">
        <v>326</v>
      </c>
      <c r="G27" s="202" t="s">
        <v>300</v>
      </c>
      <c r="H27" s="202" t="s">
        <v>302</v>
      </c>
      <c r="I27" s="202" t="s">
        <v>325</v>
      </c>
      <c r="J27" s="202" t="s">
        <v>268</v>
      </c>
    </row>
    <row r="28" spans="2:10">
      <c r="E28" s="186"/>
      <c r="F28" s="208"/>
      <c r="G28" s="189"/>
      <c r="H28" s="189"/>
      <c r="I28" s="205"/>
      <c r="J28" s="205"/>
    </row>
    <row r="29" spans="2:10">
      <c r="E29" s="186"/>
      <c r="F29" s="206"/>
      <c r="G29" s="212"/>
      <c r="H29" s="212"/>
      <c r="I29" s="102"/>
      <c r="J29" s="212"/>
    </row>
    <row r="30" spans="2:10">
      <c r="E30" s="99"/>
      <c r="F30" s="99"/>
      <c r="G30" s="99"/>
      <c r="H30" s="99"/>
      <c r="I30" s="99"/>
      <c r="J30" s="99"/>
    </row>
    <row r="31" spans="2:10">
      <c r="E31" s="99"/>
      <c r="F31" s="99"/>
      <c r="G31" s="99"/>
      <c r="H31" s="99"/>
      <c r="I31" s="99"/>
      <c r="J31" s="99"/>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Plantilla</vt:lpstr>
      <vt:lpstr>Control de cambios</vt:lpstr>
      <vt:lpstr>List</vt:lpstr>
      <vt:lpstr>0. Activos</vt:lpstr>
      <vt:lpstr>14. # AT x Mes</vt:lpstr>
      <vt:lpstr>DB_Indicadores</vt:lpstr>
      <vt:lpstr>1. Tas. Nacional</vt:lpstr>
      <vt:lpstr>2. Tas. Cauca</vt:lpstr>
      <vt:lpstr>3. Tas. Santander</vt:lpstr>
      <vt:lpstr>4. Sev. Nacional</vt:lpstr>
      <vt:lpstr>5. Sev. Cauca</vt:lpstr>
      <vt:lpstr>6. Sev. Santander</vt:lpstr>
      <vt:lpstr>7. Inves. AT</vt:lpstr>
      <vt:lpstr>9. Parte del cuerpo</vt:lpstr>
      <vt:lpstr>10. Agente de lesion</vt:lpstr>
      <vt:lpstr>8. Tipo de lesion</vt:lpstr>
      <vt:lpstr>11. Mecanismo</vt:lpstr>
      <vt:lpstr>12.Cargo</vt:lpstr>
      <vt:lpstr>13. Ejecu. PA</vt:lpstr>
      <vt:lpstr>15. Ausentismo por EG</vt:lpstr>
      <vt:lpstr>XXXXXXXXXXXXXXXX</vt:lpstr>
      <vt:lpst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Truque</dc:creator>
  <cp:lastModifiedBy>Proservis Temporales1</cp:lastModifiedBy>
  <dcterms:created xsi:type="dcterms:W3CDTF">2023-11-30T15:00:47Z</dcterms:created>
  <dcterms:modified xsi:type="dcterms:W3CDTF">2026-09-07T19:55:59Z</dcterms:modified>
</cp:coreProperties>
</file>